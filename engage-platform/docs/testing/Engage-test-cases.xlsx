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est cases" sheetId="3" state="visible" r:id="rId3"/>
    <sheet xmlns:r="http://schemas.openxmlformats.org/officeDocument/2006/relationships" name="Verify queries" sheetId="4" state="visible" r:id="rId4"/>
    <sheet xmlns:r="http://schemas.openxmlformats.org/officeDocument/2006/relationships" name="Automated tests" sheetId="5" state="visible" r:id="rId5"/>
  </sheets>
  <definedNames>
    <definedName name="_xlnm._FilterDatabase" localSheetId="2" hidden="1">'Test cases'!$A$1:$M$55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0" fontId="3" fillId="4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0" customWidth="1" min="1" max="1"/>
    <col width="95" customWidth="1" min="2" max="2"/>
    <col width="60" customWidth="1" min="3" max="3"/>
    <col width="14" customWidth="1" min="4" max="4"/>
    <col width="12" customWidth="1" min="5" max="5"/>
  </cols>
  <sheetData>
    <row r="1">
      <c r="A1" s="1" t="inlineStr">
        <is>
          <t>Engage — end-to-end test cases (dev store)</t>
        </is>
      </c>
    </row>
    <row r="3">
      <c r="A3" s="2" t="inlineStr">
        <is>
          <t>Purpose</t>
        </is>
      </c>
      <c r="B3" s="3" t="inlineStr">
        <is>
          <t>Manual checks for everything built so far, plus rows for planned features (column 'Available') to run once they exist.</t>
        </is>
      </c>
    </row>
    <row r="4">
      <c r="A4" s="2" t="inlineStr">
        <is>
          <t>Environment</t>
        </is>
      </c>
      <c r="B4" s="3" t="inlineStr">
        <is>
          <t>Dev store wumika-dev.myshopify.com  ·  dev server https://engage-dev.wumika.com  ·  never the live store.</t>
        </is>
      </c>
    </row>
    <row r="5">
      <c r="A5" s="2" t="inlineStr">
        <is>
          <t>Test customer</t>
        </is>
      </c>
      <c r="B5" s="3" t="inlineStr">
        <is>
          <t>marylindajohnson22@gmail.com is the only customer the dev server stores or messages (allowlist).</t>
        </is>
      </c>
    </row>
    <row r="6">
      <c r="A6" s="2" t="inlineStr">
        <is>
          <t>Device</t>
        </is>
      </c>
      <c r="B6" s="3" t="inlineStr">
        <is>
          <t>Android phone with Chrome is the main push device. iPhone Safari cannot receive web push (see OPT-04).</t>
        </is>
      </c>
    </row>
    <row r="7">
      <c r="A7" s="2" t="inlineStr">
        <is>
          <t>Before a push test</t>
        </is>
      </c>
      <c r="B7" s="3" t="inlineStr">
        <is>
          <t>Open the dev store once in the phone's browser after each deploy, so the service worker is up to date (needed for impression/click tracking).</t>
        </is>
      </c>
    </row>
    <row r="8">
      <c r="A8" s="2" t="inlineStr">
        <is>
          <t>Stock tests</t>
        </is>
      </c>
      <c r="B8" s="3" t="inlineStr">
        <is>
          <t>An alert needs a change from 0 to above 0. Set the item to 0 first, tap Notify me, then restock.</t>
        </is>
      </c>
    </row>
    <row r="9">
      <c r="A9" s="2" t="inlineStr">
        <is>
          <t>How to verify</t>
        </is>
      </c>
      <c r="B9" s="3" t="inlineStr">
        <is>
          <t>Column 'How to verify' names a query on the 'Verify queries' sheet (Q1...), or 'Observation'. Ask Claude to run a query read-only, or run it on the server.</t>
        </is>
      </c>
    </row>
    <row r="10">
      <c r="A10" s="2" t="inlineStr">
        <is>
          <t>What to fill in</t>
        </is>
      </c>
      <c r="B10" s="3" t="inlineStr">
        <is>
          <t>Only the yellow columns on 'Test cases': Status, Actual result / notes, Tested by, Date. The Summary sheet updates itself.</t>
        </is>
      </c>
    </row>
    <row r="11">
      <c r="A11" s="2" t="inlineStr">
        <is>
          <t>Status values</t>
        </is>
      </c>
      <c r="B11" s="3" t="inlineStr">
        <is>
          <t>Not run · Pass · Fail · Blocked (cannot run: say why in notes) · Not built yet (feature not implemented).</t>
        </is>
      </c>
    </row>
    <row r="13">
      <c r="A13" s="2" t="inlineStr">
        <is>
          <t>Example of a filled row</t>
        </is>
      </c>
    </row>
    <row r="14">
      <c r="A14" s="4" t="inlineStr">
        <is>
          <t>ID</t>
        </is>
      </c>
      <c r="B14" s="4" t="inlineStr">
        <is>
          <t>Status</t>
        </is>
      </c>
      <c r="C14" s="4" t="inlineStr">
        <is>
          <t>Actual result / notes</t>
        </is>
      </c>
      <c r="D14" s="4" t="inlineStr">
        <is>
          <t>Tested by</t>
        </is>
      </c>
      <c r="E14" s="4" t="inlineStr">
        <is>
          <t>Date</t>
        </is>
      </c>
    </row>
    <row r="15">
      <c r="A15" s="5" t="inlineStr">
        <is>
          <t>BIS-01</t>
        </is>
      </c>
      <c r="B15" s="6" t="inlineStr">
        <is>
          <t>Pass</t>
        </is>
      </c>
      <c r="C15" s="6" t="inlineStr">
        <is>
          <t>Push 'Back in stock: Elegant Gold Floral Pearl Stud Earrings' arrived in ~20 s; send #3 sent.</t>
        </is>
      </c>
      <c r="D15" s="6" t="inlineStr">
        <is>
          <t>Linda</t>
        </is>
      </c>
      <c r="E15" s="6" t="inlineStr">
        <is>
          <t>2026-09-30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Summary (updates from the Test cases sheet)</t>
        </is>
      </c>
    </row>
    <row r="3">
      <c r="A3" s="4" t="inlineStr">
        <is>
          <t>Status</t>
        </is>
      </c>
      <c r="B3" s="4" t="inlineStr">
        <is>
          <t>Count</t>
        </is>
      </c>
    </row>
    <row r="4">
      <c r="A4" s="7" t="inlineStr">
        <is>
          <t>Not run</t>
        </is>
      </c>
      <c r="B4" s="7">
        <f>COUNTIF('Test cases'!$J$2:$J$55,"Not run")</f>
        <v/>
      </c>
    </row>
    <row r="5">
      <c r="A5" s="7" t="inlineStr">
        <is>
          <t>Pass</t>
        </is>
      </c>
      <c r="B5" s="7">
        <f>COUNTIF('Test cases'!$J$2:$J$55,"Pass")</f>
        <v/>
      </c>
    </row>
    <row r="6">
      <c r="A6" s="7" t="inlineStr">
        <is>
          <t>Fail</t>
        </is>
      </c>
      <c r="B6" s="7">
        <f>COUNTIF('Test cases'!$J$2:$J$55,"Fail")</f>
        <v/>
      </c>
    </row>
    <row r="7">
      <c r="A7" s="7" t="inlineStr">
        <is>
          <t>Blocked</t>
        </is>
      </c>
      <c r="B7" s="7">
        <f>COUNTIF('Test cases'!$J$2:$J$55,"Blocked")</f>
        <v/>
      </c>
    </row>
    <row r="8">
      <c r="A8" s="7" t="inlineStr">
        <is>
          <t>Not built yet</t>
        </is>
      </c>
      <c r="B8" s="7">
        <f>COUNTIF('Test cases'!$J$2:$J$55,"Not built yet")</f>
        <v/>
      </c>
    </row>
    <row r="9">
      <c r="A9" s="2" t="inlineStr">
        <is>
          <t>Total</t>
        </is>
      </c>
      <c r="B9" s="2">
        <f>SUM(B4:B8)</f>
        <v/>
      </c>
    </row>
    <row r="10">
      <c r="A10" s="2" t="inlineStr">
        <is>
          <t>Pass rate (of cases run)</t>
        </is>
      </c>
      <c r="B10" s="8">
        <f>IFERROR(B5/(B5+B6),0)</f>
        <v/>
      </c>
      <c r="C10" s="7" t="inlineStr">
        <is>
          <t>Pass ÷ (Pass + Fail). Blocked and not-run cases are excluded.</t>
        </is>
      </c>
    </row>
    <row r="12">
      <c r="A12" s="4" t="inlineStr">
        <is>
          <t>Area</t>
        </is>
      </c>
      <c r="B12" s="4" t="inlineStr">
        <is>
          <t>Cases</t>
        </is>
      </c>
      <c r="C12" s="4" t="inlineStr">
        <is>
          <t>Pass</t>
        </is>
      </c>
      <c r="D12" s="4" t="inlineStr">
        <is>
          <t>Fail</t>
        </is>
      </c>
      <c r="E12" s="4" t="inlineStr">
        <is>
          <t>Blocked</t>
        </is>
      </c>
      <c r="F12" s="4" t="inlineStr">
        <is>
          <t>Not run</t>
        </is>
      </c>
      <c r="G12" s="4" t="inlineStr">
        <is>
          <t>Not built yet</t>
        </is>
      </c>
    </row>
    <row r="13">
      <c r="A13" s="9" t="inlineStr">
        <is>
          <t>Deployment</t>
        </is>
      </c>
      <c r="B13" s="9">
        <f>COUNTIF('Test cases'!$B$2:$B$55,A13)</f>
        <v/>
      </c>
      <c r="C13" s="9">
        <f>COUNTIFS('Test cases'!$B$2:$B$55,$A13,'Test cases'!$J$2:$J$55,"Pass")</f>
        <v/>
      </c>
      <c r="D13" s="9">
        <f>COUNTIFS('Test cases'!$B$2:$B$55,$A13,'Test cases'!$J$2:$J$55,"Fail")</f>
        <v/>
      </c>
      <c r="E13" s="9">
        <f>COUNTIFS('Test cases'!$B$2:$B$55,$A13,'Test cases'!$J$2:$J$55,"Blocked")</f>
        <v/>
      </c>
      <c r="F13" s="9">
        <f>COUNTIFS('Test cases'!$B$2:$B$55,$A13,'Test cases'!$J$2:$J$55,"Not run")</f>
        <v/>
      </c>
      <c r="G13" s="9">
        <f>COUNTIFS('Test cases'!$B$2:$B$55,$A13,'Test cases'!$J$2:$J$55,"Not built yet")</f>
        <v/>
      </c>
    </row>
    <row r="14">
      <c r="A14" s="9" t="inlineStr">
        <is>
          <t>Shopify app</t>
        </is>
      </c>
      <c r="B14" s="9">
        <f>COUNTIF('Test cases'!$B$2:$B$55,A14)</f>
        <v/>
      </c>
      <c r="C14" s="9">
        <f>COUNTIFS('Test cases'!$B$2:$B$55,$A14,'Test cases'!$J$2:$J$55,"Pass")</f>
        <v/>
      </c>
      <c r="D14" s="9">
        <f>COUNTIFS('Test cases'!$B$2:$B$55,$A14,'Test cases'!$J$2:$J$55,"Fail")</f>
        <v/>
      </c>
      <c r="E14" s="9">
        <f>COUNTIFS('Test cases'!$B$2:$B$55,$A14,'Test cases'!$J$2:$J$55,"Blocked")</f>
        <v/>
      </c>
      <c r="F14" s="9">
        <f>COUNTIFS('Test cases'!$B$2:$B$55,$A14,'Test cases'!$J$2:$J$55,"Not run")</f>
        <v/>
      </c>
      <c r="G14" s="9">
        <f>COUNTIFS('Test cases'!$B$2:$B$55,$A14,'Test cases'!$J$2:$J$55,"Not built yet")</f>
        <v/>
      </c>
    </row>
    <row r="15">
      <c r="A15" s="9" t="inlineStr">
        <is>
          <t>Privacy / allowlist</t>
        </is>
      </c>
      <c r="B15" s="9">
        <f>COUNTIF('Test cases'!$B$2:$B$55,A15)</f>
        <v/>
      </c>
      <c r="C15" s="9">
        <f>COUNTIFS('Test cases'!$B$2:$B$55,$A15,'Test cases'!$J$2:$J$55,"Pass")</f>
        <v/>
      </c>
      <c r="D15" s="9">
        <f>COUNTIFS('Test cases'!$B$2:$B$55,$A15,'Test cases'!$J$2:$J$55,"Fail")</f>
        <v/>
      </c>
      <c r="E15" s="9">
        <f>COUNTIFS('Test cases'!$B$2:$B$55,$A15,'Test cases'!$J$2:$J$55,"Blocked")</f>
        <v/>
      </c>
      <c r="F15" s="9">
        <f>COUNTIFS('Test cases'!$B$2:$B$55,$A15,'Test cases'!$J$2:$J$55,"Not run")</f>
        <v/>
      </c>
      <c r="G15" s="9">
        <f>COUNTIFS('Test cases'!$B$2:$B$55,$A15,'Test cases'!$J$2:$J$55,"Not built yet")</f>
        <v/>
      </c>
    </row>
    <row r="16">
      <c r="A16" s="9" t="inlineStr">
        <is>
          <t>Push opt-in</t>
        </is>
      </c>
      <c r="B16" s="9">
        <f>COUNTIF('Test cases'!$B$2:$B$55,A16)</f>
        <v/>
      </c>
      <c r="C16" s="9">
        <f>COUNTIFS('Test cases'!$B$2:$B$55,$A16,'Test cases'!$J$2:$J$55,"Pass")</f>
        <v/>
      </c>
      <c r="D16" s="9">
        <f>COUNTIFS('Test cases'!$B$2:$B$55,$A16,'Test cases'!$J$2:$J$55,"Fail")</f>
        <v/>
      </c>
      <c r="E16" s="9">
        <f>COUNTIFS('Test cases'!$B$2:$B$55,$A16,'Test cases'!$J$2:$J$55,"Blocked")</f>
        <v/>
      </c>
      <c r="F16" s="9">
        <f>COUNTIFS('Test cases'!$B$2:$B$55,$A16,'Test cases'!$J$2:$J$55,"Not run")</f>
        <v/>
      </c>
      <c r="G16" s="9">
        <f>COUNTIFS('Test cases'!$B$2:$B$55,$A16,'Test cases'!$J$2:$J$55,"Not built yet")</f>
        <v/>
      </c>
    </row>
    <row r="17">
      <c r="A17" s="9" t="inlineStr">
        <is>
          <t>Notify me button</t>
        </is>
      </c>
      <c r="B17" s="9">
        <f>COUNTIF('Test cases'!$B$2:$B$55,A17)</f>
        <v/>
      </c>
      <c r="C17" s="9">
        <f>COUNTIFS('Test cases'!$B$2:$B$55,$A17,'Test cases'!$J$2:$J$55,"Pass")</f>
        <v/>
      </c>
      <c r="D17" s="9">
        <f>COUNTIFS('Test cases'!$B$2:$B$55,$A17,'Test cases'!$J$2:$J$55,"Fail")</f>
        <v/>
      </c>
      <c r="E17" s="9">
        <f>COUNTIFS('Test cases'!$B$2:$B$55,$A17,'Test cases'!$J$2:$J$55,"Blocked")</f>
        <v/>
      </c>
      <c r="F17" s="9">
        <f>COUNTIFS('Test cases'!$B$2:$B$55,$A17,'Test cases'!$J$2:$J$55,"Not run")</f>
        <v/>
      </c>
      <c r="G17" s="9">
        <f>COUNTIFS('Test cases'!$B$2:$B$55,$A17,'Test cases'!$J$2:$J$55,"Not built yet")</f>
        <v/>
      </c>
    </row>
    <row r="18">
      <c r="A18" s="9" t="inlineStr">
        <is>
          <t>Inventory</t>
        </is>
      </c>
      <c r="B18" s="9">
        <f>COUNTIF('Test cases'!$B$2:$B$55,A18)</f>
        <v/>
      </c>
      <c r="C18" s="9">
        <f>COUNTIFS('Test cases'!$B$2:$B$55,$A18,'Test cases'!$J$2:$J$55,"Pass")</f>
        <v/>
      </c>
      <c r="D18" s="9">
        <f>COUNTIFS('Test cases'!$B$2:$B$55,$A18,'Test cases'!$J$2:$J$55,"Fail")</f>
        <v/>
      </c>
      <c r="E18" s="9">
        <f>COUNTIFS('Test cases'!$B$2:$B$55,$A18,'Test cases'!$J$2:$J$55,"Blocked")</f>
        <v/>
      </c>
      <c r="F18" s="9">
        <f>COUNTIFS('Test cases'!$B$2:$B$55,$A18,'Test cases'!$J$2:$J$55,"Not run")</f>
        <v/>
      </c>
      <c r="G18" s="9">
        <f>COUNTIFS('Test cases'!$B$2:$B$55,$A18,'Test cases'!$J$2:$J$55,"Not built yet")</f>
        <v/>
      </c>
    </row>
    <row r="19">
      <c r="A19" s="9" t="inlineStr">
        <is>
          <t>Back in stock</t>
        </is>
      </c>
      <c r="B19" s="9">
        <f>COUNTIF('Test cases'!$B$2:$B$55,A19)</f>
        <v/>
      </c>
      <c r="C19" s="9">
        <f>COUNTIFS('Test cases'!$B$2:$B$55,$A19,'Test cases'!$J$2:$J$55,"Pass")</f>
        <v/>
      </c>
      <c r="D19" s="9">
        <f>COUNTIFS('Test cases'!$B$2:$B$55,$A19,'Test cases'!$J$2:$J$55,"Fail")</f>
        <v/>
      </c>
      <c r="E19" s="9">
        <f>COUNTIFS('Test cases'!$B$2:$B$55,$A19,'Test cases'!$J$2:$J$55,"Blocked")</f>
        <v/>
      </c>
      <c r="F19" s="9">
        <f>COUNTIFS('Test cases'!$B$2:$B$55,$A19,'Test cases'!$J$2:$J$55,"Not run")</f>
        <v/>
      </c>
      <c r="G19" s="9">
        <f>COUNTIFS('Test cases'!$B$2:$B$55,$A19,'Test cases'!$J$2:$J$55,"Not built yet")</f>
        <v/>
      </c>
    </row>
    <row r="20">
      <c r="A20" s="9" t="inlineStr">
        <is>
          <t>Cart recovery</t>
        </is>
      </c>
      <c r="B20" s="9">
        <f>COUNTIF('Test cases'!$B$2:$B$55,A20)</f>
        <v/>
      </c>
      <c r="C20" s="9">
        <f>COUNTIFS('Test cases'!$B$2:$B$55,$A20,'Test cases'!$J$2:$J$55,"Pass")</f>
        <v/>
      </c>
      <c r="D20" s="9">
        <f>COUNTIFS('Test cases'!$B$2:$B$55,$A20,'Test cases'!$J$2:$J$55,"Fail")</f>
        <v/>
      </c>
      <c r="E20" s="9">
        <f>COUNTIFS('Test cases'!$B$2:$B$55,$A20,'Test cases'!$J$2:$J$55,"Blocked")</f>
        <v/>
      </c>
      <c r="F20" s="9">
        <f>COUNTIFS('Test cases'!$B$2:$B$55,$A20,'Test cases'!$J$2:$J$55,"Not run")</f>
        <v/>
      </c>
      <c r="G20" s="9">
        <f>COUNTIFS('Test cases'!$B$2:$B$55,$A20,'Test cases'!$J$2:$J$55,"Not built yet")</f>
        <v/>
      </c>
    </row>
    <row r="21">
      <c r="A21" s="9" t="inlineStr">
        <is>
          <t>Click tracking</t>
        </is>
      </c>
      <c r="B21" s="9">
        <f>COUNTIF('Test cases'!$B$2:$B$55,A21)</f>
        <v/>
      </c>
      <c r="C21" s="9">
        <f>COUNTIFS('Test cases'!$B$2:$B$55,$A21,'Test cases'!$J$2:$J$55,"Pass")</f>
        <v/>
      </c>
      <c r="D21" s="9">
        <f>COUNTIFS('Test cases'!$B$2:$B$55,$A21,'Test cases'!$J$2:$J$55,"Fail")</f>
        <v/>
      </c>
      <c r="E21" s="9">
        <f>COUNTIFS('Test cases'!$B$2:$B$55,$A21,'Test cases'!$J$2:$J$55,"Blocked")</f>
        <v/>
      </c>
      <c r="F21" s="9">
        <f>COUNTIFS('Test cases'!$B$2:$B$55,$A21,'Test cases'!$J$2:$J$55,"Not run")</f>
        <v/>
      </c>
      <c r="G21" s="9">
        <f>COUNTIFS('Test cases'!$B$2:$B$55,$A21,'Test cases'!$J$2:$J$55,"Not built yet")</f>
        <v/>
      </c>
    </row>
    <row r="22">
      <c r="A22" s="9" t="inlineStr">
        <is>
          <t>Policy rules</t>
        </is>
      </c>
      <c r="B22" s="9">
        <f>COUNTIF('Test cases'!$B$2:$B$55,A22)</f>
        <v/>
      </c>
      <c r="C22" s="9">
        <f>COUNTIFS('Test cases'!$B$2:$B$55,$A22,'Test cases'!$J$2:$J$55,"Pass")</f>
        <v/>
      </c>
      <c r="D22" s="9">
        <f>COUNTIFS('Test cases'!$B$2:$B$55,$A22,'Test cases'!$J$2:$J$55,"Fail")</f>
        <v/>
      </c>
      <c r="E22" s="9">
        <f>COUNTIFS('Test cases'!$B$2:$B$55,$A22,'Test cases'!$J$2:$J$55,"Blocked")</f>
        <v/>
      </c>
      <c r="F22" s="9">
        <f>COUNTIFS('Test cases'!$B$2:$B$55,$A22,'Test cases'!$J$2:$J$55,"Not run")</f>
        <v/>
      </c>
      <c r="G22" s="9">
        <f>COUNTIFS('Test cases'!$B$2:$B$55,$A22,'Test cases'!$J$2:$J$55,"Not built yet")</f>
        <v/>
      </c>
    </row>
    <row r="23">
      <c r="A23" s="9" t="inlineStr">
        <is>
          <t>Resilience</t>
        </is>
      </c>
      <c r="B23" s="9">
        <f>COUNTIF('Test cases'!$B$2:$B$55,A23)</f>
        <v/>
      </c>
      <c r="C23" s="9">
        <f>COUNTIFS('Test cases'!$B$2:$B$55,$A23,'Test cases'!$J$2:$J$55,"Pass")</f>
        <v/>
      </c>
      <c r="D23" s="9">
        <f>COUNTIFS('Test cases'!$B$2:$B$55,$A23,'Test cases'!$J$2:$J$55,"Fail")</f>
        <v/>
      </c>
      <c r="E23" s="9">
        <f>COUNTIFS('Test cases'!$B$2:$B$55,$A23,'Test cases'!$J$2:$J$55,"Blocked")</f>
        <v/>
      </c>
      <c r="F23" s="9">
        <f>COUNTIFS('Test cases'!$B$2:$B$55,$A23,'Test cases'!$J$2:$J$55,"Not run")</f>
        <v/>
      </c>
      <c r="G23" s="9">
        <f>COUNTIFS('Test cases'!$B$2:$B$55,$A23,'Test cases'!$J$2:$J$55,"Not built yet")</f>
        <v/>
      </c>
    </row>
    <row r="24">
      <c r="A24" s="9" t="inlineStr">
        <is>
          <t>Price drop</t>
        </is>
      </c>
      <c r="B24" s="9">
        <f>COUNTIF('Test cases'!$B$2:$B$55,A24)</f>
        <v/>
      </c>
      <c r="C24" s="9">
        <f>COUNTIFS('Test cases'!$B$2:$B$55,$A24,'Test cases'!$J$2:$J$55,"Pass")</f>
        <v/>
      </c>
      <c r="D24" s="9">
        <f>COUNTIFS('Test cases'!$B$2:$B$55,$A24,'Test cases'!$J$2:$J$55,"Fail")</f>
        <v/>
      </c>
      <c r="E24" s="9">
        <f>COUNTIFS('Test cases'!$B$2:$B$55,$A24,'Test cases'!$J$2:$J$55,"Blocked")</f>
        <v/>
      </c>
      <c r="F24" s="9">
        <f>COUNTIFS('Test cases'!$B$2:$B$55,$A24,'Test cases'!$J$2:$J$55,"Not run")</f>
        <v/>
      </c>
      <c r="G24" s="9">
        <f>COUNTIFS('Test cases'!$B$2:$B$55,$A24,'Test cases'!$J$2:$J$55,"Not built yet")</f>
        <v/>
      </c>
    </row>
    <row r="25">
      <c r="A25" s="9" t="inlineStr">
        <is>
          <t>Browse abandon</t>
        </is>
      </c>
      <c r="B25" s="9">
        <f>COUNTIF('Test cases'!$B$2:$B$55,A25)</f>
        <v/>
      </c>
      <c r="C25" s="9">
        <f>COUNTIFS('Test cases'!$B$2:$B$55,$A25,'Test cases'!$J$2:$J$55,"Pass")</f>
        <v/>
      </c>
      <c r="D25" s="9">
        <f>COUNTIFS('Test cases'!$B$2:$B$55,$A25,'Test cases'!$J$2:$J$55,"Fail")</f>
        <v/>
      </c>
      <c r="E25" s="9">
        <f>COUNTIFS('Test cases'!$B$2:$B$55,$A25,'Test cases'!$J$2:$J$55,"Blocked")</f>
        <v/>
      </c>
      <c r="F25" s="9">
        <f>COUNTIFS('Test cases'!$B$2:$B$55,$A25,'Test cases'!$J$2:$J$55,"Not run")</f>
        <v/>
      </c>
      <c r="G25" s="9">
        <f>COUNTIFS('Test cases'!$B$2:$B$55,$A25,'Test cases'!$J$2:$J$55,"Not built yet")</f>
        <v/>
      </c>
    </row>
    <row r="26">
      <c r="A26" s="9" t="inlineStr">
        <is>
          <t>WhatsApp</t>
        </is>
      </c>
      <c r="B26" s="9">
        <f>COUNTIF('Test cases'!$B$2:$B$55,A26)</f>
        <v/>
      </c>
      <c r="C26" s="9">
        <f>COUNTIFS('Test cases'!$B$2:$B$55,$A26,'Test cases'!$J$2:$J$55,"Pass")</f>
        <v/>
      </c>
      <c r="D26" s="9">
        <f>COUNTIFS('Test cases'!$B$2:$B$55,$A26,'Test cases'!$J$2:$J$55,"Fail")</f>
        <v/>
      </c>
      <c r="E26" s="9">
        <f>COUNTIFS('Test cases'!$B$2:$B$55,$A26,'Test cases'!$J$2:$J$55,"Blocked")</f>
        <v/>
      </c>
      <c r="F26" s="9">
        <f>COUNTIFS('Test cases'!$B$2:$B$55,$A26,'Test cases'!$J$2:$J$55,"Not run")</f>
        <v/>
      </c>
      <c r="G26" s="9">
        <f>COUNTIFS('Test cases'!$B$2:$B$55,$A26,'Test cases'!$J$2:$J$55,"Not built yet")</f>
        <v/>
      </c>
    </row>
    <row r="27">
      <c r="A27" s="9" t="inlineStr">
        <is>
          <t>SMS</t>
        </is>
      </c>
      <c r="B27" s="9">
        <f>COUNTIF('Test cases'!$B$2:$B$55,A27)</f>
        <v/>
      </c>
      <c r="C27" s="9">
        <f>COUNTIFS('Test cases'!$B$2:$B$55,$A27,'Test cases'!$J$2:$J$55,"Pass")</f>
        <v/>
      </c>
      <c r="D27" s="9">
        <f>COUNTIFS('Test cases'!$B$2:$B$55,$A27,'Test cases'!$J$2:$J$55,"Fail")</f>
        <v/>
      </c>
      <c r="E27" s="9">
        <f>COUNTIFS('Test cases'!$B$2:$B$55,$A27,'Test cases'!$J$2:$J$55,"Blocked")</f>
        <v/>
      </c>
      <c r="F27" s="9">
        <f>COUNTIFS('Test cases'!$B$2:$B$55,$A27,'Test cases'!$J$2:$J$55,"Not run")</f>
        <v/>
      </c>
      <c r="G27" s="9">
        <f>COUNTIFS('Test cases'!$B$2:$B$55,$A27,'Test cases'!$J$2:$J$55,"Not built yet")</f>
        <v/>
      </c>
    </row>
    <row r="28">
      <c r="A28" s="9" t="inlineStr">
        <is>
          <t>Payment recovery</t>
        </is>
      </c>
      <c r="B28" s="9">
        <f>COUNTIF('Test cases'!$B$2:$B$55,A28)</f>
        <v/>
      </c>
      <c r="C28" s="9">
        <f>COUNTIFS('Test cases'!$B$2:$B$55,$A28,'Test cases'!$J$2:$J$55,"Pass")</f>
        <v/>
      </c>
      <c r="D28" s="9">
        <f>COUNTIFS('Test cases'!$B$2:$B$55,$A28,'Test cases'!$J$2:$J$55,"Fail")</f>
        <v/>
      </c>
      <c r="E28" s="9">
        <f>COUNTIFS('Test cases'!$B$2:$B$55,$A28,'Test cases'!$J$2:$J$55,"Blocked")</f>
        <v/>
      </c>
      <c r="F28" s="9">
        <f>COUNTIFS('Test cases'!$B$2:$B$55,$A28,'Test cases'!$J$2:$J$55,"Not run")</f>
        <v/>
      </c>
      <c r="G28" s="9">
        <f>COUNTIFS('Test cases'!$B$2:$B$55,$A28,'Test cases'!$J$2:$J$55,"Not built yet")</f>
        <v/>
      </c>
    </row>
    <row r="29">
      <c r="A29" s="9" t="inlineStr">
        <is>
          <t>Admin console</t>
        </is>
      </c>
      <c r="B29" s="9">
        <f>COUNTIF('Test cases'!$B$2:$B$55,A29)</f>
        <v/>
      </c>
      <c r="C29" s="9">
        <f>COUNTIFS('Test cases'!$B$2:$B$55,$A29,'Test cases'!$J$2:$J$55,"Pass")</f>
        <v/>
      </c>
      <c r="D29" s="9">
        <f>COUNTIFS('Test cases'!$B$2:$B$55,$A29,'Test cases'!$J$2:$J$55,"Fail")</f>
        <v/>
      </c>
      <c r="E29" s="9">
        <f>COUNTIFS('Test cases'!$B$2:$B$55,$A29,'Test cases'!$J$2:$J$55,"Blocked")</f>
        <v/>
      </c>
      <c r="F29" s="9">
        <f>COUNTIFS('Test cases'!$B$2:$B$55,$A29,'Test cases'!$J$2:$J$55,"Not run")</f>
        <v/>
      </c>
      <c r="G29" s="9">
        <f>COUNTIFS('Test cases'!$B$2:$B$55,$A29,'Test cases'!$J$2:$J$55,"Not built yet")</f>
        <v/>
      </c>
    </row>
    <row r="30">
      <c r="A30" s="9" t="inlineStr">
        <is>
          <t>Email</t>
        </is>
      </c>
      <c r="B30" s="9">
        <f>COUNTIF('Test cases'!$B$2:$B$55,A30)</f>
        <v/>
      </c>
      <c r="C30" s="9">
        <f>COUNTIFS('Test cases'!$B$2:$B$55,$A30,'Test cases'!$J$2:$J$55,"Pass")</f>
        <v/>
      </c>
      <c r="D30" s="9">
        <f>COUNTIFS('Test cases'!$B$2:$B$55,$A30,'Test cases'!$J$2:$J$55,"Fail")</f>
        <v/>
      </c>
      <c r="E30" s="9">
        <f>COUNTIFS('Test cases'!$B$2:$B$55,$A30,'Test cases'!$J$2:$J$55,"Blocked")</f>
        <v/>
      </c>
      <c r="F30" s="9">
        <f>COUNTIFS('Test cases'!$B$2:$B$55,$A30,'Test cases'!$J$2:$J$55,"Not run")</f>
        <v/>
      </c>
      <c r="G30" s="9">
        <f>COUNTIFS('Test cases'!$B$2:$B$55,$A30,'Test cases'!$J$2:$J$55,"Not built yet")</f>
        <v/>
      </c>
    </row>
    <row r="31">
      <c r="A31" s="2" t="inlineStr">
        <is>
          <t>Total</t>
        </is>
      </c>
      <c r="B31" s="2">
        <f>SUM(B13:B30)</f>
        <v/>
      </c>
      <c r="C31" s="2">
        <f>SUM(C13:C30)</f>
        <v/>
      </c>
      <c r="D31" s="2">
        <f>SUM(D13:D30)</f>
        <v/>
      </c>
      <c r="E31" s="2">
        <f>SUM(E13:E30)</f>
        <v/>
      </c>
      <c r="F31" s="2">
        <f>SUM(F13:F30)</f>
        <v/>
      </c>
      <c r="G31" s="2">
        <f>SUM(G13:G30)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8" customWidth="1" min="2" max="2"/>
    <col width="34" customWidth="1" min="3" max="3"/>
    <col width="8" customWidth="1" min="4" max="4"/>
    <col width="13" customWidth="1" min="5" max="5"/>
    <col width="34" customWidth="1" min="6" max="6"/>
    <col width="44" customWidth="1" min="7" max="7"/>
    <col width="50" customWidth="1" min="8" max="8"/>
    <col width="18" customWidth="1" min="9" max="9"/>
    <col width="13" customWidth="1" min="10" max="10"/>
    <col width="40" customWidth="1" min="11" max="11"/>
    <col width="12" customWidth="1" min="12" max="12"/>
    <col width="12" customWidth="1" min="13" max="13"/>
  </cols>
  <sheetData>
    <row r="1" ht="30" customHeight="1">
      <c r="A1" s="4" t="inlineStr">
        <is>
          <t>ID</t>
        </is>
      </c>
      <c r="B1" s="4" t="inlineStr">
        <is>
          <t>Area</t>
        </is>
      </c>
      <c r="C1" s="4" t="inlineStr">
        <is>
          <t>Scenario</t>
        </is>
      </c>
      <c r="D1" s="4" t="inlineStr">
        <is>
          <t>Priority</t>
        </is>
      </c>
      <c r="E1" s="4" t="inlineStr">
        <is>
          <t>Available</t>
        </is>
      </c>
      <c r="F1" s="4" t="inlineStr">
        <is>
          <t>Preconditions</t>
        </is>
      </c>
      <c r="G1" s="4" t="inlineStr">
        <is>
          <t>Steps</t>
        </is>
      </c>
      <c r="H1" s="4" t="inlineStr">
        <is>
          <t>Expected result</t>
        </is>
      </c>
      <c r="I1" s="4" t="inlineStr">
        <is>
          <t>How to verify</t>
        </is>
      </c>
      <c r="J1" s="4" t="inlineStr">
        <is>
          <t>Status</t>
        </is>
      </c>
      <c r="K1" s="4" t="inlineStr">
        <is>
          <t>Actual result / notes</t>
        </is>
      </c>
      <c r="L1" s="4" t="inlineStr">
        <is>
          <t>Tested by</t>
        </is>
      </c>
      <c r="M1" s="4" t="inlineStr">
        <is>
          <t>Date</t>
        </is>
      </c>
    </row>
    <row r="2">
      <c r="A2" s="5" t="inlineStr">
        <is>
          <t>DEP-01</t>
        </is>
      </c>
      <c r="B2" s="10" t="inlineStr">
        <is>
          <t>Deployment</t>
        </is>
      </c>
      <c r="C2" s="5" t="inlineStr">
        <is>
          <t>Dev server services are healthy</t>
        </is>
      </c>
      <c r="D2" s="5" t="inlineStr">
        <is>
          <t>P1</t>
        </is>
      </c>
      <c r="E2" s="5" t="inlineStr">
        <is>
          <t>Now</t>
        </is>
      </c>
      <c r="F2" s="5" t="inlineStr">
        <is>
          <t>Latest `dev` deployed by GitHub Actions.</t>
        </is>
      </c>
      <c r="G2" s="5" t="inlineStr">
        <is>
          <t>1. Open https://engage-dev.wumika.com/health
2. Check the containers on the server.</t>
        </is>
      </c>
      <c r="H2" s="5" t="inlineStr">
        <is>
          <t>Health returns {"status":"UP"}. ingest, admin, worker and db all 'running'; worker restart count 0.</t>
        </is>
      </c>
      <c r="I2" s="5" t="inlineStr">
        <is>
          <t>Q1 (containers)</t>
        </is>
      </c>
      <c r="J2" s="6" t="inlineStr">
        <is>
          <t>Not run</t>
        </is>
      </c>
      <c r="K2" s="6" t="n"/>
      <c r="L2" s="6" t="n"/>
      <c r="M2" s="11" t="n"/>
    </row>
    <row r="3">
      <c r="A3" s="5" t="inlineStr">
        <is>
          <t>DEP-02</t>
        </is>
      </c>
      <c r="B3" s="10" t="inlineStr">
        <is>
          <t>Deployment</t>
        </is>
      </c>
      <c r="C3" s="5" t="inlineStr">
        <is>
          <t>Worker starts with push ready</t>
        </is>
      </c>
      <c r="D3" s="5" t="inlineStr">
        <is>
          <t>P1</t>
        </is>
      </c>
      <c r="E3" s="5" t="inlineStr">
        <is>
          <t>Now</t>
        </is>
      </c>
      <c r="F3" s="5" t="inlineStr">
        <is>
          <t>Worker deployed.</t>
        </is>
      </c>
      <c r="G3" s="5" t="inlineStr">
        <is>
          <t>Read the worker's startup log.</t>
        </is>
      </c>
      <c r="H3" s="5" t="inlineStr">
        <is>
          <t>Log shows 'templates: N loaded' and 'worker ready: channels [PUSH]'.</t>
        </is>
      </c>
      <c r="I3" s="5" t="inlineStr">
        <is>
          <t>Q2 (worker log)</t>
        </is>
      </c>
      <c r="J3" s="6" t="inlineStr">
        <is>
          <t>Not run</t>
        </is>
      </c>
      <c r="K3" s="6" t="n"/>
      <c r="L3" s="6" t="n"/>
      <c r="M3" s="11" t="n"/>
    </row>
    <row r="4">
      <c r="A4" s="5" t="inlineStr">
        <is>
          <t>DEP-03</t>
        </is>
      </c>
      <c r="B4" s="10" t="inlineStr">
        <is>
          <t>Deployment</t>
        </is>
      </c>
      <c r="C4" s="5" t="inlineStr">
        <is>
          <t>All migrations applied</t>
        </is>
      </c>
      <c r="D4" s="5" t="inlineStr">
        <is>
          <t>P1</t>
        </is>
      </c>
      <c r="E4" s="5" t="inlineStr">
        <is>
          <t>Now</t>
        </is>
      </c>
      <c r="F4" s="5" t="inlineStr">
        <is>
          <t>Worker/ingest deployed.</t>
        </is>
      </c>
      <c r="G4" s="5" t="inlineStr">
        <is>
          <t>List Flyway history on the dev database.</t>
        </is>
      </c>
      <c r="H4" s="5" t="inlineStr">
        <is>
          <t>V1 to V9 present, every row success = t.</t>
        </is>
      </c>
      <c r="I4" s="5" t="inlineStr">
        <is>
          <t>Q3</t>
        </is>
      </c>
      <c r="J4" s="6" t="inlineStr">
        <is>
          <t>Not run</t>
        </is>
      </c>
      <c r="K4" s="6" t="n"/>
      <c r="L4" s="6" t="n"/>
      <c r="M4" s="11" t="n"/>
    </row>
    <row r="5">
      <c r="A5" s="5" t="inlineStr">
        <is>
          <t>DEP-04</t>
        </is>
      </c>
      <c r="B5" s="10" t="inlineStr">
        <is>
          <t>Deployment</t>
        </is>
      </c>
      <c r="C5" s="5" t="inlineStr">
        <is>
          <t>Worker refuses to start without the Firebase key</t>
        </is>
      </c>
      <c r="D5" s="5" t="inlineStr">
        <is>
          <t>P3</t>
        </is>
      </c>
      <c r="E5" s="5" t="inlineStr">
        <is>
          <t>Now</t>
        </is>
      </c>
      <c r="F5" s="5" t="inlineStr">
        <is>
          <t>Ops test; do only with care.</t>
        </is>
      </c>
      <c r="G5" s="5" t="inlineStr">
        <is>
          <t>Temporarily point FIREBASE_SERVICE_ACCOUNT_FILE at a missing path and restart the worker. Restore afterwards.</t>
        </is>
      </c>
      <c r="H5" s="5" t="inlineStr">
        <is>
          <t>Worker exits at boot with an error naming FIREBASE_SERVICE_ACCOUNT_FILE; nothing is sent.</t>
        </is>
      </c>
      <c r="I5" s="5" t="inlineStr">
        <is>
          <t>Q2 (worker log)</t>
        </is>
      </c>
      <c r="J5" s="6" t="inlineStr">
        <is>
          <t>Not run</t>
        </is>
      </c>
      <c r="K5" s="6" t="n"/>
      <c r="L5" s="6" t="n"/>
      <c r="M5" s="11" t="n"/>
    </row>
    <row r="6">
      <c r="A6" s="5" t="inlineStr">
        <is>
          <t>APP-01</t>
        </is>
      </c>
      <c r="B6" s="10" t="inlineStr">
        <is>
          <t>Shopify app</t>
        </is>
      </c>
      <c r="C6" s="5" t="inlineStr">
        <is>
          <t>Dev app holds the needed permissions</t>
        </is>
      </c>
      <c r="D6" s="5" t="inlineStr">
        <is>
          <t>P1</t>
        </is>
      </c>
      <c r="E6" s="5" t="inlineStr">
        <is>
          <t>Now</t>
        </is>
      </c>
      <c r="F6" s="5" t="inlineStr">
        <is>
          <t>wumikaEngage-dev installed on wumika-dev.</t>
        </is>
      </c>
      <c r="G6" s="5" t="inlineStr">
        <is>
          <t>Ask Claude to run the scope check, or open the app in the dev admin.</t>
        </is>
      </c>
      <c r="H6" s="5" t="inlineStr">
        <is>
          <t>Scopes include read_customers, read_orders, read_inventory, read_products.</t>
        </is>
      </c>
      <c r="I6" s="5" t="inlineStr">
        <is>
          <t>Claude: 'check dev app scopes'</t>
        </is>
      </c>
      <c r="J6" s="6" t="inlineStr">
        <is>
          <t>Not run</t>
        </is>
      </c>
      <c r="K6" s="6" t="n"/>
      <c r="L6" s="6" t="n"/>
      <c r="M6" s="11" t="n"/>
    </row>
    <row r="7">
      <c r="A7" s="5" t="inlineStr">
        <is>
          <t>APP-02</t>
        </is>
      </c>
      <c r="B7" s="10" t="inlineStr">
        <is>
          <t>Shopify app</t>
        </is>
      </c>
      <c r="C7" s="5" t="inlineStr">
        <is>
          <t>Webhooks arrive for every subscribed topic</t>
        </is>
      </c>
      <c r="D7" s="5" t="inlineStr">
        <is>
          <t>P1</t>
        </is>
      </c>
      <c r="E7" s="5" t="inlineStr">
        <is>
          <t>Now</t>
        </is>
      </c>
      <c r="F7" s="5" t="inlineStr">
        <is>
          <t>Some activity on the dev store (cart change, stock change).</t>
        </is>
      </c>
      <c r="G7" s="5" t="inlineStr">
        <is>
          <t>Change a cart and a stock level on the dev store.</t>
        </is>
      </c>
      <c r="H7" s="5" t="inlineStr">
        <is>
          <t>carts/update and inventory_levels/update rows appear in the inbox, processed on attempt 1, no last_error.</t>
        </is>
      </c>
      <c r="I7" s="5" t="inlineStr">
        <is>
          <t>Q4</t>
        </is>
      </c>
      <c r="J7" s="6" t="inlineStr">
        <is>
          <t>Not run</t>
        </is>
      </c>
      <c r="K7" s="6" t="n"/>
      <c r="L7" s="6" t="n"/>
      <c r="M7" s="11" t="n"/>
    </row>
    <row r="8">
      <c r="A8" s="5" t="inlineStr">
        <is>
          <t>APP-03</t>
        </is>
      </c>
      <c r="B8" s="10" t="inlineStr">
        <is>
          <t>Shopify app</t>
        </is>
      </c>
      <c r="C8" s="5" t="inlineStr">
        <is>
          <t>Engage embed and Notify-me block are enabled in the theme</t>
        </is>
      </c>
      <c r="D8" s="5" t="inlineStr">
        <is>
          <t>P1</t>
        </is>
      </c>
      <c r="E8" s="5" t="inlineStr">
        <is>
          <t>Now</t>
        </is>
      </c>
      <c r="F8" s="5" t="inlineStr">
        <is>
          <t>Theme editor access.</t>
        </is>
      </c>
      <c r="G8" s="5" t="inlineStr">
        <is>
          <t>Online Store &gt; Themes &gt; Customize: App embeds shows 'Engage push' ON; product template has 'Engage notify me'.</t>
        </is>
      </c>
      <c r="H8" s="5" t="inlineStr">
        <is>
          <t>Both present and saved.</t>
        </is>
      </c>
      <c r="I8" s="5" t="inlineStr">
        <is>
          <t>Theme editor</t>
        </is>
      </c>
      <c r="J8" s="6" t="inlineStr">
        <is>
          <t>Not run</t>
        </is>
      </c>
      <c r="K8" s="6" t="n"/>
      <c r="L8" s="6" t="n"/>
      <c r="M8" s="11" t="n"/>
    </row>
    <row r="9">
      <c r="A9" s="5" t="inlineStr">
        <is>
          <t>PRV-01</t>
        </is>
      </c>
      <c r="B9" s="10" t="inlineStr">
        <is>
          <t>Privacy / allowlist</t>
        </is>
      </c>
      <c r="C9" s="5" t="inlineStr">
        <is>
          <t>Only the allowlisted test customer is stored</t>
        </is>
      </c>
      <c r="D9" s="5" t="inlineStr">
        <is>
          <t>P1</t>
        </is>
      </c>
      <c r="E9" s="5" t="inlineStr">
        <is>
          <t>Now</t>
        </is>
      </c>
      <c r="F9" s="5" t="inlineStr">
        <is>
          <t>CUSTOMER_ALLOWLIST_EMAILS = marylindajohnson22@gmail.com on the server.</t>
        </is>
      </c>
      <c r="G9" s="5" t="inlineStr">
        <is>
          <t>Sign in as a different customer (or check out as a guest with another email) and add to cart / tap Notify me.</t>
        </is>
      </c>
      <c r="H9" s="5" t="inlineStr">
        <is>
          <t>Webhook acknowledged but no customer data stored; notify-me returns 202; no waitlist row for that shopper.</t>
        </is>
      </c>
      <c r="I9" s="5" t="inlineStr">
        <is>
          <t>Q4, Q7</t>
        </is>
      </c>
      <c r="J9" s="6" t="inlineStr">
        <is>
          <t>Not run</t>
        </is>
      </c>
      <c r="K9" s="6" t="n"/>
      <c r="L9" s="6" t="n"/>
      <c r="M9" s="11" t="n"/>
    </row>
    <row r="10">
      <c r="A10" s="5" t="inlineStr">
        <is>
          <t>PRV-02</t>
        </is>
      </c>
      <c r="B10" s="10" t="inlineStr">
        <is>
          <t>Privacy / allowlist</t>
        </is>
      </c>
      <c r="C10" s="5" t="inlineStr">
        <is>
          <t>Anonymous visitor cannot join the waitlist</t>
        </is>
      </c>
      <c r="D10" s="5" t="inlineStr">
        <is>
          <t>P2</t>
        </is>
      </c>
      <c r="E10" s="5" t="inlineStr">
        <is>
          <t>Now</t>
        </is>
      </c>
      <c r="F10" s="5" t="inlineStr">
        <is>
          <t>Signed out.</t>
        </is>
      </c>
      <c r="G10" s="5" t="inlineStr">
        <is>
          <t>Open a sold-out product signed out and tap Notify me.</t>
        </is>
      </c>
      <c r="H10" s="5" t="inlineStr">
        <is>
          <t>No waitlist row is stored (202 from /notify-me).</t>
        </is>
      </c>
      <c r="I10" s="5" t="inlineStr">
        <is>
          <t>Q7</t>
        </is>
      </c>
      <c r="J10" s="6" t="inlineStr">
        <is>
          <t>Not run</t>
        </is>
      </c>
      <c r="K10" s="6" t="n"/>
      <c r="L10" s="6" t="n"/>
      <c r="M10" s="11" t="n"/>
    </row>
    <row r="11">
      <c r="A11" s="5" t="inlineStr">
        <is>
          <t>OPT-01</t>
        </is>
      </c>
      <c r="B11" s="10" t="inlineStr">
        <is>
          <t>Push opt-in</t>
        </is>
      </c>
      <c r="C11" s="5" t="inlineStr">
        <is>
          <t>Soft-ask after add to cart (Android Chrome)</t>
        </is>
      </c>
      <c r="D11" s="5" t="inlineStr">
        <is>
          <t>P1</t>
        </is>
      </c>
      <c r="E11" s="5" t="inlineStr">
        <is>
          <t>Now</t>
        </is>
      </c>
      <c r="F11" s="5" t="inlineStr">
        <is>
          <t>Signed in as test customer; notifications not yet allowed for the store.</t>
        </is>
      </c>
      <c r="G11" s="5" t="inlineStr">
        <is>
          <t>1. Add any product to cart.
2. Accept the soft-ask.
3. Allow notifications in Chrome.</t>
        </is>
      </c>
      <c r="H11" s="5" t="inlineStr">
        <is>
          <t>Soft-ask appears before the browser prompt; after Allow, a device row (active) and a push/marketing consent row exist.</t>
        </is>
      </c>
      <c r="I11" s="5" t="inlineStr">
        <is>
          <t>Q5</t>
        </is>
      </c>
      <c r="J11" s="6" t="inlineStr">
        <is>
          <t>Not run</t>
        </is>
      </c>
      <c r="K11" s="6" t="n"/>
      <c r="L11" s="6" t="n"/>
      <c r="M11" s="11" t="n"/>
    </row>
    <row r="12">
      <c r="A12" s="5" t="inlineStr">
        <is>
          <t>OPT-02</t>
        </is>
      </c>
      <c r="B12" s="10" t="inlineStr">
        <is>
          <t>Push opt-in</t>
        </is>
      </c>
      <c r="C12" s="5" t="inlineStr">
        <is>
          <t>Native prompt never appears without the soft-ask</t>
        </is>
      </c>
      <c r="D12" s="5" t="inlineStr">
        <is>
          <t>P1</t>
        </is>
      </c>
      <c r="E12" s="5" t="inlineStr">
        <is>
          <t>Now</t>
        </is>
      </c>
      <c r="F12" s="5" t="inlineStr">
        <is>
          <t>Fresh browser profile.</t>
        </is>
      </c>
      <c r="G12" s="5" t="inlineStr">
        <is>
          <t>Browse several pages without accepting any soft-ask.</t>
        </is>
      </c>
      <c r="H12" s="5" t="inlineStr">
        <is>
          <t>Chrome's notification prompt never appears on page load.</t>
        </is>
      </c>
      <c r="I12" s="5" t="inlineStr">
        <is>
          <t>Observation</t>
        </is>
      </c>
      <c r="J12" s="6" t="inlineStr">
        <is>
          <t>Not run</t>
        </is>
      </c>
      <c r="K12" s="6" t="n"/>
      <c r="L12" s="6" t="n"/>
      <c r="M12" s="11" t="n"/>
    </row>
    <row r="13">
      <c r="A13" s="5" t="inlineStr">
        <is>
          <t>OPT-03</t>
        </is>
      </c>
      <c r="B13" s="10" t="inlineStr">
        <is>
          <t>Push opt-in</t>
        </is>
      </c>
      <c r="C13" s="5" t="inlineStr">
        <is>
          <t>Permission previously denied</t>
        </is>
      </c>
      <c r="D13" s="5" t="inlineStr">
        <is>
          <t>P2</t>
        </is>
      </c>
      <c r="E13" s="5" t="inlineStr">
        <is>
          <t>Now</t>
        </is>
      </c>
      <c r="F13" s="5" t="inlineStr">
        <is>
          <t>Notifications blocked for the store in Chrome settings.</t>
        </is>
      </c>
      <c r="G13" s="5" t="inlineStr">
        <is>
          <t>Add to cart; open a sold-out product.</t>
        </is>
      </c>
      <c r="H13" s="5" t="inlineStr">
        <is>
          <t>No soft-ask shown; no console errors; Notify me still saves the waitlist entry.</t>
        </is>
      </c>
      <c r="I13" s="5" t="inlineStr">
        <is>
          <t>Browser console, Q7</t>
        </is>
      </c>
      <c r="J13" s="6" t="inlineStr">
        <is>
          <t>Not run</t>
        </is>
      </c>
      <c r="K13" s="6" t="n"/>
      <c r="L13" s="6" t="n"/>
      <c r="M13" s="11" t="n"/>
    </row>
    <row r="14">
      <c r="A14" s="5" t="inlineStr">
        <is>
          <t>OPT-04</t>
        </is>
      </c>
      <c r="B14" s="10" t="inlineStr">
        <is>
          <t>Push opt-in</t>
        </is>
      </c>
      <c r="C14" s="5" t="inlineStr">
        <is>
          <t>iPhone Safari gets no push ask</t>
        </is>
      </c>
      <c r="D14" s="5" t="inlineStr">
        <is>
          <t>P2</t>
        </is>
      </c>
      <c r="E14" s="5" t="inlineStr">
        <is>
          <t>Now</t>
        </is>
      </c>
      <c r="F14" s="5" t="inlineStr">
        <is>
          <t>iPhone, Safari, store not installed to Home Screen.</t>
        </is>
      </c>
      <c r="G14" s="5" t="inlineStr">
        <is>
          <t>Add to cart; tap Notify me.</t>
        </is>
      </c>
      <c r="H14" s="5" t="inlineStr">
        <is>
          <t>No push prompt (iOS web push cannot deliver). Prompt event logged as ios_redirected_to_whatsapp if the WhatsApp fallback is shown.</t>
        </is>
      </c>
      <c r="I14" s="5" t="inlineStr">
        <is>
          <t>Q8</t>
        </is>
      </c>
      <c r="J14" s="6" t="inlineStr">
        <is>
          <t>Not run</t>
        </is>
      </c>
      <c r="K14" s="6" t="n"/>
      <c r="L14" s="6" t="n"/>
      <c r="M14" s="11" t="n"/>
    </row>
    <row r="15">
      <c r="A15" s="5" t="inlineStr">
        <is>
          <t>OPT-05</t>
        </is>
      </c>
      <c r="B15" s="10" t="inlineStr">
        <is>
          <t>Push opt-in</t>
        </is>
      </c>
      <c r="C15" s="5" t="inlineStr">
        <is>
          <t>Turn off push in-page</t>
        </is>
      </c>
      <c r="D15" s="5" t="inlineStr">
        <is>
          <t>P2</t>
        </is>
      </c>
      <c r="E15" s="5" t="inlineStr">
        <is>
          <t>Now</t>
        </is>
      </c>
      <c r="F15" s="5" t="inlineStr">
        <is>
          <t>Subscribed device.</t>
        </is>
      </c>
      <c r="G15" s="5" t="inlineStr">
        <is>
          <t>Use the store's 'turn off alerts' control (if exposed) or unregister.</t>
        </is>
      </c>
      <c r="H15" s="5" t="inlineStr">
        <is>
          <t>Device becomes inactive (reason user_off) and push consent is withdrawn.</t>
        </is>
      </c>
      <c r="I15" s="5" t="inlineStr">
        <is>
          <t>Q5</t>
        </is>
      </c>
      <c r="J15" s="6" t="inlineStr">
        <is>
          <t>Not run</t>
        </is>
      </c>
      <c r="K15" s="6" t="n"/>
      <c r="L15" s="6" t="n"/>
      <c r="M15" s="11" t="n"/>
    </row>
    <row r="16">
      <c r="A16" s="5" t="inlineStr">
        <is>
          <t>OPT-06</t>
        </is>
      </c>
      <c r="B16" s="10" t="inlineStr">
        <is>
          <t>Push opt-in</t>
        </is>
      </c>
      <c r="C16" s="5" t="inlineStr">
        <is>
          <t>In-app browser (Instagram) gets no push ask</t>
        </is>
      </c>
      <c r="D16" s="5" t="inlineStr">
        <is>
          <t>P3</t>
        </is>
      </c>
      <c r="E16" s="5" t="inlineStr">
        <is>
          <t>Now</t>
        </is>
      </c>
      <c r="F16" s="5" t="inlineStr">
        <is>
          <t>Open the store link inside Instagram.</t>
        </is>
      </c>
      <c r="G16" s="5" t="inlineStr">
        <is>
          <t>Add to cart.</t>
        </is>
      </c>
      <c r="H16" s="5" t="inlineStr">
        <is>
          <t>No push prompt.</t>
        </is>
      </c>
      <c r="I16" s="5" t="inlineStr">
        <is>
          <t>Observation</t>
        </is>
      </c>
      <c r="J16" s="6" t="inlineStr">
        <is>
          <t>Not run</t>
        </is>
      </c>
      <c r="K16" s="6" t="n"/>
      <c r="L16" s="6" t="n"/>
      <c r="M16" s="11" t="n"/>
    </row>
    <row r="17">
      <c r="A17" s="5" t="inlineStr">
        <is>
          <t>NTF-01</t>
        </is>
      </c>
      <c r="B17" s="10" t="inlineStr">
        <is>
          <t>Notify me button</t>
        </is>
      </c>
      <c r="C17" s="5" t="inlineStr">
        <is>
          <t>Shows only on a sold-out variant</t>
        </is>
      </c>
      <c r="D17" s="5" t="inlineStr">
        <is>
          <t>P1</t>
        </is>
      </c>
      <c r="E17" s="5" t="inlineStr">
        <is>
          <t>Now</t>
        </is>
      </c>
      <c r="F17" s="5" t="inlineStr">
        <is>
          <t>A product with stock 0 and one with stock &gt; 0.</t>
        </is>
      </c>
      <c r="G17" s="5" t="inlineStr">
        <is>
          <t>Open both product pages.</t>
        </is>
      </c>
      <c r="H17" s="5" t="inlineStr">
        <is>
          <t>Sold-out: 'Notify me when it's back' visible. In stock: no button.</t>
        </is>
      </c>
      <c r="I17" s="5" t="inlineStr">
        <is>
          <t>Observation</t>
        </is>
      </c>
      <c r="J17" s="6" t="inlineStr">
        <is>
          <t>Not run</t>
        </is>
      </c>
      <c r="K17" s="6" t="n"/>
      <c r="L17" s="6" t="n"/>
      <c r="M17" s="11" t="n"/>
    </row>
    <row r="18">
      <c r="A18" s="5" t="inlineStr">
        <is>
          <t>NTF-02</t>
        </is>
      </c>
      <c r="B18" s="10" t="inlineStr">
        <is>
          <t>Notify me button</t>
        </is>
      </c>
      <c r="C18" s="5" t="inlineStr">
        <is>
          <t>Follows variant changes</t>
        </is>
      </c>
      <c r="D18" s="5" t="inlineStr">
        <is>
          <t>P1</t>
        </is>
      </c>
      <c r="E18" s="5" t="inlineStr">
        <is>
          <t>Now</t>
        </is>
      </c>
      <c r="F18" s="5" t="inlineStr">
        <is>
          <t>Multi-variant product (e.g. Gold Open Cuff Bangle: red/green/clear) with one variant at 0.</t>
        </is>
      </c>
      <c r="G18" s="5" t="inlineStr">
        <is>
          <t>Switch between variants on the product page.</t>
        </is>
      </c>
      <c r="H18" s="5" t="inlineStr">
        <is>
          <t>Button appears only while the sold-out variant is selected; sized text reads 'Tell me when &lt;variant&gt; is back'.</t>
        </is>
      </c>
      <c r="I18" s="5" t="inlineStr">
        <is>
          <t>Observation</t>
        </is>
      </c>
      <c r="J18" s="6" t="inlineStr">
        <is>
          <t>Not run</t>
        </is>
      </c>
      <c r="K18" s="6" t="n"/>
      <c r="L18" s="6" t="n"/>
      <c r="M18" s="11" t="n"/>
    </row>
    <row r="19">
      <c r="A19" s="5" t="inlineStr">
        <is>
          <t>NTF-03</t>
        </is>
      </c>
      <c r="B19" s="10" t="inlineStr">
        <is>
          <t>Notify me button</t>
        </is>
      </c>
      <c r="C19" s="5" t="inlineStr">
        <is>
          <t>Tap joins the waitlist</t>
        </is>
      </c>
      <c r="D19" s="5" t="inlineStr">
        <is>
          <t>P1</t>
        </is>
      </c>
      <c r="E19" s="5" t="inlineStr">
        <is>
          <t>Now</t>
        </is>
      </c>
      <c r="F19" s="5" t="inlineStr">
        <is>
          <t>Signed in as test customer; sold-out product.</t>
        </is>
      </c>
      <c r="G19" s="5" t="inlineStr">
        <is>
          <t>Tap Notify me; allow notifications if asked.</t>
        </is>
      </c>
      <c r="H19" s="5" t="inlineStr">
        <is>
          <t>Button changes to "We'll alert you" and disables. One waitlist row: correct variant, notified_at empty.</t>
        </is>
      </c>
      <c r="I19" s="5" t="inlineStr">
        <is>
          <t>Q7</t>
        </is>
      </c>
      <c r="J19" s="6" t="inlineStr">
        <is>
          <t>Not run</t>
        </is>
      </c>
      <c r="K19" s="6" t="n"/>
      <c r="L19" s="6" t="n"/>
      <c r="M19" s="11" t="n"/>
    </row>
    <row r="20">
      <c r="A20" s="5" t="inlineStr">
        <is>
          <t>NTF-04</t>
        </is>
      </c>
      <c r="B20" s="10" t="inlineStr">
        <is>
          <t>Notify me button</t>
        </is>
      </c>
      <c r="C20" s="5" t="inlineStr">
        <is>
          <t>Tapping again while waiting keeps the place</t>
        </is>
      </c>
      <c r="D20" s="5" t="inlineStr">
        <is>
          <t>P2</t>
        </is>
      </c>
      <c r="E20" s="5" t="inlineStr">
        <is>
          <t>Now</t>
        </is>
      </c>
      <c r="F20" s="5" t="inlineStr">
        <is>
          <t>Existing pending waitlist row.</t>
        </is>
      </c>
      <c r="G20" s="5" t="inlineStr">
        <is>
          <t>Reload and tap Notify me again.</t>
        </is>
      </c>
      <c r="H20" s="5" t="inlineStr">
        <is>
          <t>Still one row; created_at unchanged.</t>
        </is>
      </c>
      <c r="I20" s="5" t="inlineStr">
        <is>
          <t>Q7</t>
        </is>
      </c>
      <c r="J20" s="6" t="inlineStr">
        <is>
          <t>Not run</t>
        </is>
      </c>
      <c r="K20" s="6" t="n"/>
      <c r="L20" s="6" t="n"/>
      <c r="M20" s="11" t="n"/>
    </row>
    <row r="21">
      <c r="A21" s="5" t="inlineStr">
        <is>
          <t>NTF-05</t>
        </is>
      </c>
      <c r="B21" s="10" t="inlineStr">
        <is>
          <t>Notify me button</t>
        </is>
      </c>
      <c r="C21" s="5" t="inlineStr">
        <is>
          <t>Tapping again after an alert re-arms it</t>
        </is>
      </c>
      <c r="D21" s="5" t="inlineStr">
        <is>
          <t>P1</t>
        </is>
      </c>
      <c r="E21" s="5" t="inlineStr">
        <is>
          <t>Now</t>
        </is>
      </c>
      <c r="F21" s="5" t="inlineStr">
        <is>
          <t>Waitlist row already notified (after a back-in-stock push).</t>
        </is>
      </c>
      <c r="G21" s="5" t="inlineStr">
        <is>
          <t>Set the item to 0, tap Notify me again.</t>
        </is>
      </c>
      <c r="H21" s="5" t="inlineStr">
        <is>
          <t>notified_at cleared, created_at updated; next restock alerts again.</t>
        </is>
      </c>
      <c r="I21" s="5" t="inlineStr">
        <is>
          <t>Q7</t>
        </is>
      </c>
      <c r="J21" s="6" t="inlineStr">
        <is>
          <t>Not run</t>
        </is>
      </c>
      <c r="K21" s="6" t="n"/>
      <c r="L21" s="6" t="n"/>
      <c r="M21" s="11" t="n"/>
    </row>
    <row r="22">
      <c r="A22" s="5" t="inlineStr">
        <is>
          <t>INV-01</t>
        </is>
      </c>
      <c r="B22" s="10" t="inlineStr">
        <is>
          <t>Inventory</t>
        </is>
      </c>
      <c r="C22" s="5" t="inlineStr">
        <is>
          <t>Sold out produces variant_sold_out</t>
        </is>
      </c>
      <c r="D22" s="5" t="inlineStr">
        <is>
          <t>P1</t>
        </is>
      </c>
      <c r="E22" s="5" t="inlineStr">
        <is>
          <t>Now</t>
        </is>
      </c>
      <c r="F22" s="5" t="inlineStr">
        <is>
          <t>Item seen before with stock &gt; 0.</t>
        </is>
      </c>
      <c r="G22" s="5" t="inlineStr">
        <is>
          <t>Set stock to 0 in the admin.</t>
        </is>
      </c>
      <c r="H22" s="5" t="inlineStr">
        <is>
          <t>Event variant_sold_out within seconds; inventory_state.available = 0.</t>
        </is>
      </c>
      <c r="I22" s="5" t="inlineStr">
        <is>
          <t>Q6, Q9</t>
        </is>
      </c>
      <c r="J22" s="6" t="inlineStr">
        <is>
          <t>Not run</t>
        </is>
      </c>
      <c r="K22" s="6" t="n"/>
      <c r="L22" s="6" t="n"/>
      <c r="M22" s="11" t="n"/>
    </row>
    <row r="23">
      <c r="A23" s="5" t="inlineStr">
        <is>
          <t>INV-02</t>
        </is>
      </c>
      <c r="B23" s="10" t="inlineStr">
        <is>
          <t>Inventory</t>
        </is>
      </c>
      <c r="C23" s="5" t="inlineStr">
        <is>
          <t>0 to positive produces variant_restocked</t>
        </is>
      </c>
      <c r="D23" s="5" t="inlineStr">
        <is>
          <t>P1</t>
        </is>
      </c>
      <c r="E23" s="5" t="inlineStr">
        <is>
          <t>Now</t>
        </is>
      </c>
      <c r="F23" s="5" t="inlineStr">
        <is>
          <t>Item currently 0.</t>
        </is>
      </c>
      <c r="G23" s="5" t="inlineStr">
        <is>
          <t>Set stock to 5.</t>
        </is>
      </c>
      <c r="H23" s="5" t="inlineStr">
        <is>
          <t>One variant_restocked event with quantity 5, product title and variant title.</t>
        </is>
      </c>
      <c r="I23" s="5" t="inlineStr">
        <is>
          <t>Q6</t>
        </is>
      </c>
      <c r="J23" s="6" t="inlineStr">
        <is>
          <t>Not run</t>
        </is>
      </c>
      <c r="K23" s="6" t="n"/>
      <c r="L23" s="6" t="n"/>
      <c r="M23" s="11" t="n"/>
    </row>
    <row r="24">
      <c r="A24" s="5" t="inlineStr">
        <is>
          <t>INV-03</t>
        </is>
      </c>
      <c r="B24" s="10" t="inlineStr">
        <is>
          <t>Inventory</t>
        </is>
      </c>
      <c r="C24" s="5" t="inlineStr">
        <is>
          <t>5 to 7 produces nothing</t>
        </is>
      </c>
      <c r="D24" s="5" t="inlineStr">
        <is>
          <t>P2</t>
        </is>
      </c>
      <c r="E24" s="5" t="inlineStr">
        <is>
          <t>Now</t>
        </is>
      </c>
      <c r="F24" s="5" t="inlineStr">
        <is>
          <t>Item at 5.</t>
        </is>
      </c>
      <c r="G24" s="5" t="inlineStr">
        <is>
          <t>Set stock to 7.</t>
        </is>
      </c>
      <c r="H24" s="5" t="inlineStr">
        <is>
          <t>No new variant_restocked event; state shows 7.</t>
        </is>
      </c>
      <c r="I24" s="5" t="inlineStr">
        <is>
          <t>Q6, Q9</t>
        </is>
      </c>
      <c r="J24" s="6" t="inlineStr">
        <is>
          <t>Not run</t>
        </is>
      </c>
      <c r="K24" s="6" t="n"/>
      <c r="L24" s="6" t="n"/>
      <c r="M24" s="11" t="n"/>
    </row>
    <row r="25">
      <c r="A25" s="5" t="inlineStr">
        <is>
          <t>INV-04</t>
        </is>
      </c>
      <c r="B25" s="10" t="inlineStr">
        <is>
          <t>Inventory</t>
        </is>
      </c>
      <c r="C25" s="5" t="inlineStr">
        <is>
          <t>First stock update seen for an item sets a baseline</t>
        </is>
      </c>
      <c r="D25" s="5" t="inlineStr">
        <is>
          <t>P3</t>
        </is>
      </c>
      <c r="E25" s="5" t="inlineStr">
        <is>
          <t>Now</t>
        </is>
      </c>
      <c r="F25" s="5" t="inlineStr">
        <is>
          <t>An item never changed since deploy.</t>
        </is>
      </c>
      <c r="G25" s="5" t="inlineStr">
        <is>
          <t>Change its stock once (non-zero to non-zero).</t>
        </is>
      </c>
      <c r="H25" s="5" t="inlineStr">
        <is>
          <t>No event; an inventory_state row appears.</t>
        </is>
      </c>
      <c r="I25" s="5" t="inlineStr">
        <is>
          <t>Q6, Q9</t>
        </is>
      </c>
      <c r="J25" s="6" t="inlineStr">
        <is>
          <t>Not run</t>
        </is>
      </c>
      <c r="K25" s="6" t="n"/>
      <c r="L25" s="6" t="n"/>
      <c r="M25" s="11" t="n"/>
    </row>
    <row r="26">
      <c r="A26" s="5" t="inlineStr">
        <is>
          <t>BIS-01</t>
        </is>
      </c>
      <c r="B26" s="10" t="inlineStr">
        <is>
          <t>Back in stock</t>
        </is>
      </c>
      <c r="C26" s="5" t="inlineStr">
        <is>
          <t>One-size item alert reaches the phone</t>
        </is>
      </c>
      <c r="D26" s="5" t="inlineStr">
        <is>
          <t>P1</t>
        </is>
      </c>
      <c r="E26" s="5" t="inlineStr">
        <is>
          <t>Now</t>
        </is>
      </c>
      <c r="F26" s="5" t="inlineStr">
        <is>
          <t>Test customer subscribed to push; one-size item at 0; Notify me tapped.</t>
        </is>
      </c>
      <c r="G26" s="5" t="inlineStr">
        <is>
          <t>Set stock to 1 or more.</t>
        </is>
      </c>
      <c r="H26" s="5" t="inlineStr">
        <is>
          <t>Within about 1 minute: 'Back in stock: &lt;product&gt;' / 'Only a few pieces in this restock.' Send row sent, delivered_count &gt;= 1.</t>
        </is>
      </c>
      <c r="I26" s="5" t="inlineStr">
        <is>
          <t>Q10, Q11</t>
        </is>
      </c>
      <c r="J26" s="6" t="inlineStr">
        <is>
          <t>Not run</t>
        </is>
      </c>
      <c r="K26" s="6" t="n"/>
      <c r="L26" s="6" t="n"/>
      <c r="M26" s="11" t="n"/>
    </row>
    <row r="27">
      <c r="A27" s="5" t="inlineStr">
        <is>
          <t>BIS-02</t>
        </is>
      </c>
      <c r="B27" s="10" t="inlineStr">
        <is>
          <t>Back in stock</t>
        </is>
      </c>
      <c r="C27" s="5" t="inlineStr">
        <is>
          <t>Sized item alert names the size</t>
        </is>
      </c>
      <c r="D27" s="5" t="inlineStr">
        <is>
          <t>P1</t>
        </is>
      </c>
      <c r="E27" s="5" t="inlineStr">
        <is>
          <t>Now</t>
        </is>
      </c>
      <c r="F27" s="5" t="inlineStr">
        <is>
          <t>Multi-variant item; sold-out variant waitlisted.</t>
        </is>
      </c>
      <c r="G27" s="5" t="inlineStr">
        <is>
          <t>Restock that variant.</t>
        </is>
      </c>
      <c r="H27" s="5" t="inlineStr">
        <is>
          <t>'Size &lt;variant&gt; is back: &lt;product&gt;'.</t>
        </is>
      </c>
      <c r="I27" s="5" t="inlineStr">
        <is>
          <t>Q10</t>
        </is>
      </c>
      <c r="J27" s="6" t="inlineStr">
        <is>
          <t>Not run</t>
        </is>
      </c>
      <c r="K27" s="6" t="n"/>
      <c r="L27" s="6" t="n"/>
      <c r="M27" s="11" t="n"/>
    </row>
    <row r="28">
      <c r="A28" s="5" t="inlineStr">
        <is>
          <t>BIS-03</t>
        </is>
      </c>
      <c r="B28" s="10" t="inlineStr">
        <is>
          <t>Back in stock</t>
        </is>
      </c>
      <c r="C28" s="5" t="inlineStr">
        <is>
          <t>Tap opens the variant page with UTMs</t>
        </is>
      </c>
      <c r="D28" s="5" t="inlineStr">
        <is>
          <t>P1</t>
        </is>
      </c>
      <c r="E28" s="5" t="inlineStr">
        <is>
          <t>Now</t>
        </is>
      </c>
      <c r="F28" s="5" t="inlineStr">
        <is>
          <t>BIS-01 push received.</t>
        </is>
      </c>
      <c r="G28" s="5" t="inlineStr">
        <is>
          <t>Tap the notification.</t>
        </is>
      </c>
      <c r="H28" s="5" t="inlineStr">
        <is>
          <t>Opens /products/&lt;handle&gt;?variant=&lt;id&gt;&amp;utm_source=engage&amp;utm_medium=push&amp;utm_campaign=back_in_stock&amp;utm_content=&lt;send id&gt;.</t>
        </is>
      </c>
      <c r="I28" s="5" t="inlineStr">
        <is>
          <t>Browser address bar</t>
        </is>
      </c>
      <c r="J28" s="6" t="inlineStr">
        <is>
          <t>Not run</t>
        </is>
      </c>
      <c r="K28" s="6" t="n"/>
      <c r="L28" s="6" t="n"/>
      <c r="M28" s="11" t="n"/>
    </row>
    <row r="29">
      <c r="A29" s="5" t="inlineStr">
        <is>
          <t>BIS-04</t>
        </is>
      </c>
      <c r="B29" s="10" t="inlineStr">
        <is>
          <t>Back in stock</t>
        </is>
      </c>
      <c r="C29" s="5" t="inlineStr">
        <is>
          <t>Not waitlisted means no push</t>
        </is>
      </c>
      <c r="D29" s="5" t="inlineStr">
        <is>
          <t>P1</t>
        </is>
      </c>
      <c r="E29" s="5" t="inlineStr">
        <is>
          <t>Now</t>
        </is>
      </c>
      <c r="F29" s="5" t="inlineStr">
        <is>
          <t>Subscribed customer who did NOT tap Notify me for the item.</t>
        </is>
      </c>
      <c r="G29" s="5" t="inlineStr">
        <is>
          <t>Restock the item.</t>
        </is>
      </c>
      <c r="H29" s="5" t="inlineStr">
        <is>
          <t>No push; no cascade run for that customer.</t>
        </is>
      </c>
      <c r="I29" s="5" t="inlineStr">
        <is>
          <t>Q10</t>
        </is>
      </c>
      <c r="J29" s="6" t="inlineStr">
        <is>
          <t>Not run</t>
        </is>
      </c>
      <c r="K29" s="6" t="n"/>
      <c r="L29" s="6" t="n"/>
      <c r="M29" s="11" t="n"/>
    </row>
    <row r="30">
      <c r="A30" s="5" t="inlineStr">
        <is>
          <t>BIS-05</t>
        </is>
      </c>
      <c r="B30" s="10" t="inlineStr">
        <is>
          <t>Back in stock</t>
        </is>
      </c>
      <c r="C30" s="5" t="inlineStr">
        <is>
          <t>Each waitlist entry alerts once</t>
        </is>
      </c>
      <c r="D30" s="5" t="inlineStr">
        <is>
          <t>P1</t>
        </is>
      </c>
      <c r="E30" s="5" t="inlineStr">
        <is>
          <t>Now</t>
        </is>
      </c>
      <c r="F30" s="5" t="inlineStr">
        <is>
          <t>BIS-01 done; do not tap Notify me again.</t>
        </is>
      </c>
      <c r="G30" s="5" t="inlineStr">
        <is>
          <t>Set the same item to 0 then back to 1.</t>
        </is>
      </c>
      <c r="H30" s="5" t="inlineStr">
        <is>
          <t>No second push; waitlist row stays notified.</t>
        </is>
      </c>
      <c r="I30" s="5" t="inlineStr">
        <is>
          <t>Q7, Q10</t>
        </is>
      </c>
      <c r="J30" s="6" t="inlineStr">
        <is>
          <t>Not run</t>
        </is>
      </c>
      <c r="K30" s="6" t="n"/>
      <c r="L30" s="6" t="n"/>
      <c r="M30" s="11" t="n"/>
    </row>
    <row r="31">
      <c r="A31" s="5" t="inlineStr">
        <is>
          <t>BIS-06</t>
        </is>
      </c>
      <c r="B31" s="10" t="inlineStr">
        <is>
          <t>Back in stock</t>
        </is>
      </c>
      <c r="C31" s="5" t="inlineStr">
        <is>
          <t>Alert is not delayed by quiet hours</t>
        </is>
      </c>
      <c r="D31" s="5" t="inlineStr">
        <is>
          <t>P2</t>
        </is>
      </c>
      <c r="E31" s="5" t="inlineStr">
        <is>
          <t>Now</t>
        </is>
      </c>
      <c r="F31" s="5" t="inlineStr">
        <is>
          <t>Waitlisted item; perform between 21:00 and 09:00 IST.</t>
        </is>
      </c>
      <c r="G31" s="5" t="inlineStr">
        <is>
          <t>Restock the item at night.</t>
        </is>
      </c>
      <c r="H31" s="5" t="inlineStr">
        <is>
          <t>Push still sent immediately (utility message the shopper asked for).</t>
        </is>
      </c>
      <c r="I31" s="5" t="inlineStr">
        <is>
          <t>Q11</t>
        </is>
      </c>
      <c r="J31" s="6" t="inlineStr">
        <is>
          <t>Not run</t>
        </is>
      </c>
      <c r="K31" s="6" t="n"/>
      <c r="L31" s="6" t="n"/>
      <c r="M31" s="11" t="n"/>
    </row>
    <row r="32">
      <c r="A32" s="5" t="inlineStr">
        <is>
          <t>BIS-07</t>
        </is>
      </c>
      <c r="B32" s="10" t="inlineStr">
        <is>
          <t>Back in stock</t>
        </is>
      </c>
      <c r="C32" s="5" t="inlineStr">
        <is>
          <t>At most 20 shoppers per restocked unit</t>
        </is>
      </c>
      <c r="D32" s="5" t="inlineStr">
        <is>
          <t>P3</t>
        </is>
      </c>
      <c r="E32" s="5" t="inlineStr">
        <is>
          <t>Automated only</t>
        </is>
      </c>
      <c r="F32" s="5" t="inlineStr">
        <is>
          <t>Needs 21+ waitlisted shoppers; the dev allowlist allows one.</t>
        </is>
      </c>
      <c r="G32" s="5" t="inlineStr">
        <is>
          <t>Covered by BackInStockTest.one_restocked_unit_reaches_at_most_twenty_shoppers_oldest_first.</t>
        </is>
      </c>
      <c r="H32" s="5" t="inlineStr">
        <is>
          <t>20 oldest notified; the rest wait.</t>
        </is>
      </c>
      <c r="I32" s="5" t="inlineStr">
        <is>
          <t>./gradlew :worker:test</t>
        </is>
      </c>
      <c r="J32" s="6" t="inlineStr">
        <is>
          <t>Not run</t>
        </is>
      </c>
      <c r="K32" s="6" t="n"/>
      <c r="L32" s="6" t="n"/>
      <c r="M32" s="11" t="n"/>
    </row>
    <row r="33">
      <c r="A33" s="5" t="inlineStr">
        <is>
          <t>CRT-01</t>
        </is>
      </c>
      <c r="B33" s="10" t="inlineStr">
        <is>
          <t>Cart recovery</t>
        </is>
      </c>
      <c r="C33" s="5" t="inlineStr">
        <is>
          <t>Abandoned cart gets one push after 45 minutes</t>
        </is>
      </c>
      <c r="D33" s="5" t="inlineStr">
        <is>
          <t>P1</t>
        </is>
      </c>
      <c r="E33" s="5" t="inlineStr">
        <is>
          <t>Now</t>
        </is>
      </c>
      <c r="F33" s="5" t="inlineStr">
        <is>
          <t>Test customer signed in, push allowed; cart linked to the customer; daytime IST.</t>
        </is>
      </c>
      <c r="G33" s="5" t="inlineStr">
        <is>
          <t>Add items to cart and leave for 46 minutes.</t>
        </is>
      </c>
      <c r="H33" s="5" t="inlineStr">
        <is>
          <t>Push 'Still in your bag: &lt;most expensive item&gt;' / "It's saved for you...". Tap opens /cart with UTMs.</t>
        </is>
      </c>
      <c r="I33" s="5" t="inlineStr">
        <is>
          <t>Q10, Q11</t>
        </is>
      </c>
      <c r="J33" s="6" t="inlineStr">
        <is>
          <t>Not run</t>
        </is>
      </c>
      <c r="K33" s="6" t="n"/>
      <c r="L33" s="6" t="n"/>
      <c r="M33" s="11" t="n"/>
    </row>
    <row r="34">
      <c r="A34" s="5" t="inlineStr">
        <is>
          <t>CRT-02</t>
        </is>
      </c>
      <c r="B34" s="10" t="inlineStr">
        <is>
          <t>Cart recovery</t>
        </is>
      </c>
      <c r="C34" s="5" t="inlineStr">
        <is>
          <t>Changing the cart restarts the 45-minute timer</t>
        </is>
      </c>
      <c r="D34" s="5" t="inlineStr">
        <is>
          <t>P2</t>
        </is>
      </c>
      <c r="E34" s="5" t="inlineStr">
        <is>
          <t>Now</t>
        </is>
      </c>
      <c r="F34" s="5" t="inlineStr">
        <is>
          <t>CRT-01 setup.</t>
        </is>
      </c>
      <c r="G34" s="5" t="inlineStr">
        <is>
          <t>Change the cart after 20 minutes; wait.</t>
        </is>
      </c>
      <c r="H34" s="5" t="inlineStr">
        <is>
          <t>Push arrives 45 minutes after the LAST change; only one push; earlier run cancelled 'cart_changed'.</t>
        </is>
      </c>
      <c r="I34" s="5" t="inlineStr">
        <is>
          <t>Q10</t>
        </is>
      </c>
      <c r="J34" s="6" t="inlineStr">
        <is>
          <t>Not run</t>
        </is>
      </c>
      <c r="K34" s="6" t="n"/>
      <c r="L34" s="6" t="n"/>
      <c r="M34" s="11" t="n"/>
    </row>
    <row r="35">
      <c r="A35" s="5" t="inlineStr">
        <is>
          <t>CRT-03</t>
        </is>
      </c>
      <c r="B35" s="10" t="inlineStr">
        <is>
          <t>Cart recovery</t>
        </is>
      </c>
      <c r="C35" s="5" t="inlineStr">
        <is>
          <t>Placing the order cancels the push</t>
        </is>
      </c>
      <c r="D35" s="5" t="inlineStr">
        <is>
          <t>P1</t>
        </is>
      </c>
      <c r="E35" s="5" t="inlineStr">
        <is>
          <t>Now</t>
        </is>
      </c>
      <c r="F35" s="5" t="inlineStr">
        <is>
          <t>Cart with items, within 45 minutes.</t>
        </is>
      </c>
      <c r="G35" s="5" t="inlineStr">
        <is>
          <t>Complete a test-mode order for that cart.</t>
        </is>
      </c>
      <c r="H35" s="5" t="inlineStr">
        <is>
          <t>No push; run cancelled 'order_placed'.</t>
        </is>
      </c>
      <c r="I35" s="5" t="inlineStr">
        <is>
          <t>Q10</t>
        </is>
      </c>
      <c r="J35" s="6" t="inlineStr">
        <is>
          <t>Not run</t>
        </is>
      </c>
      <c r="K35" s="6" t="n"/>
      <c r="L35" s="6" t="n"/>
      <c r="M35" s="11" t="n"/>
    </row>
    <row r="36">
      <c r="A36" s="5" t="inlineStr">
        <is>
          <t>CRT-04</t>
        </is>
      </c>
      <c r="B36" s="10" t="inlineStr">
        <is>
          <t>Cart recovery</t>
        </is>
      </c>
      <c r="C36" s="5" t="inlineStr">
        <is>
          <t>Emptying the cart cancels the push</t>
        </is>
      </c>
      <c r="D36" s="5" t="inlineStr">
        <is>
          <t>P2</t>
        </is>
      </c>
      <c r="E36" s="5" t="inlineStr">
        <is>
          <t>Now</t>
        </is>
      </c>
      <c r="F36" s="5" t="inlineStr">
        <is>
          <t>Cart with items.</t>
        </is>
      </c>
      <c r="G36" s="5" t="inlineStr">
        <is>
          <t>Remove all items within 45 minutes.</t>
        </is>
      </c>
      <c r="H36" s="5" t="inlineStr">
        <is>
          <t>No push; run cancelled 'cart_emptied'.</t>
        </is>
      </c>
      <c r="I36" s="5" t="inlineStr">
        <is>
          <t>Q10</t>
        </is>
      </c>
      <c r="J36" s="6" t="inlineStr">
        <is>
          <t>Not run</t>
        </is>
      </c>
      <c r="K36" s="6" t="n"/>
      <c r="L36" s="6" t="n"/>
      <c r="M36" s="11" t="n"/>
    </row>
    <row r="37">
      <c r="A37" s="5" t="inlineStr">
        <is>
          <t>CRT-05</t>
        </is>
      </c>
      <c r="B37" s="10" t="inlineStr">
        <is>
          <t>Cart recovery</t>
        </is>
      </c>
      <c r="C37" s="5" t="inlineStr">
        <is>
          <t>Quiet hours defer, not drop</t>
        </is>
      </c>
      <c r="D37" s="5" t="inlineStr">
        <is>
          <t>P1</t>
        </is>
      </c>
      <c r="E37" s="5" t="inlineStr">
        <is>
          <t>Now</t>
        </is>
      </c>
      <c r="F37" s="5" t="inlineStr">
        <is>
          <t>Abandon a cart so the 45 minutes end after 21:00 IST.</t>
        </is>
      </c>
      <c r="G37" s="5" t="inlineStr">
        <is>
          <t>Wait until 09:00 IST next morning.</t>
        </is>
      </c>
      <c r="H37" s="5" t="inlineStr">
        <is>
          <t>Deferred send row (QUIET_HOURS) at night; push arrives shortly after 09:00 IST.</t>
        </is>
      </c>
      <c r="I37" s="5" t="inlineStr">
        <is>
          <t>Q10, Q11</t>
        </is>
      </c>
      <c r="J37" s="6" t="inlineStr">
        <is>
          <t>Not run</t>
        </is>
      </c>
      <c r="K37" s="6" t="n"/>
      <c r="L37" s="6" t="n"/>
      <c r="M37" s="11" t="n"/>
    </row>
    <row r="38">
      <c r="A38" s="5" t="inlineStr">
        <is>
          <t>CRT-06</t>
        </is>
      </c>
      <c r="B38" s="10" t="inlineStr">
        <is>
          <t>Cart recovery</t>
        </is>
      </c>
      <c r="C38" s="5" t="inlineStr">
        <is>
          <t>Anonymous cart gets nothing</t>
        </is>
      </c>
      <c r="D38" s="5" t="inlineStr">
        <is>
          <t>P3</t>
        </is>
      </c>
      <c r="E38" s="5" t="inlineStr">
        <is>
          <t>Now</t>
        </is>
      </c>
      <c r="F38" s="5" t="inlineStr">
        <is>
          <t>Signed out, never subscribed.</t>
        </is>
      </c>
      <c r="G38" s="5" t="inlineStr">
        <is>
          <t>Add to cart and wait 46 minutes.</t>
        </is>
      </c>
      <c r="H38" s="5" t="inlineStr">
        <is>
          <t>No cascade run.</t>
        </is>
      </c>
      <c r="I38" s="5" t="inlineStr">
        <is>
          <t>Q10</t>
        </is>
      </c>
      <c r="J38" s="6" t="inlineStr">
        <is>
          <t>Not run</t>
        </is>
      </c>
      <c r="K38" s="6" t="n"/>
      <c r="L38" s="6" t="n"/>
      <c r="M38" s="11" t="n"/>
    </row>
    <row r="39">
      <c r="A39" s="5" t="inlineStr">
        <is>
          <t>TRK-01</t>
        </is>
      </c>
      <c r="B39" s="10" t="inlineStr">
        <is>
          <t>Click tracking</t>
        </is>
      </c>
      <c r="C39" s="5" t="inlineStr">
        <is>
          <t>Tapping a push is recorded once</t>
        </is>
      </c>
      <c r="D39" s="5" t="inlineStr">
        <is>
          <t>P1</t>
        </is>
      </c>
      <c r="E39" s="5" t="inlineStr">
        <is>
          <t>Now</t>
        </is>
      </c>
      <c r="F39" s="5" t="inlineStr">
        <is>
          <t>A push received on a device whose service worker is up to date (store opened after the latest deploy).</t>
        </is>
      </c>
      <c r="G39" s="5" t="inlineStr">
        <is>
          <t>Tap the notification; tap a second push of the same send if any.</t>
        </is>
      </c>
      <c r="H39" s="5" t="inlineStr">
        <is>
          <t>sends.clicked_at set, status 'clicked'; one push_clicked event; the cascade run becomes succeeded/clicked.</t>
        </is>
      </c>
      <c r="I39" s="5" t="inlineStr">
        <is>
          <t>Q11, Q12</t>
        </is>
      </c>
      <c r="J39" s="6" t="inlineStr">
        <is>
          <t>Not run</t>
        </is>
      </c>
      <c r="K39" s="6" t="n"/>
      <c r="L39" s="6" t="n"/>
      <c r="M39" s="11" t="n"/>
    </row>
    <row r="40">
      <c r="A40" s="5" t="inlineStr">
        <is>
          <t>TRK-02</t>
        </is>
      </c>
      <c r="B40" s="10" t="inlineStr">
        <is>
          <t>Click tracking</t>
        </is>
      </c>
      <c r="C40" s="5" t="inlineStr">
        <is>
          <t>Showing a push is recorded</t>
        </is>
      </c>
      <c r="D40" s="5" t="inlineStr">
        <is>
          <t>P2</t>
        </is>
      </c>
      <c r="E40" s="5" t="inlineStr">
        <is>
          <t>Now</t>
        </is>
      </c>
      <c r="F40" s="5" t="inlineStr">
        <is>
          <t>As TRK-01.</t>
        </is>
      </c>
      <c r="G40" s="5" t="inlineStr">
        <is>
          <t>Receive a push (do not tap).</t>
        </is>
      </c>
      <c r="H40" s="5" t="inlineStr">
        <is>
          <t>sends.delivered_at set, status 'delivered'.</t>
        </is>
      </c>
      <c r="I40" s="5" t="inlineStr">
        <is>
          <t>Q11</t>
        </is>
      </c>
      <c r="J40" s="6" t="inlineStr">
        <is>
          <t>Not run</t>
        </is>
      </c>
      <c r="K40" s="6" t="n"/>
      <c r="L40" s="6" t="n"/>
      <c r="M40" s="11" t="n"/>
    </row>
    <row r="41">
      <c r="A41" s="5" t="inlineStr">
        <is>
          <t>TRK-03</t>
        </is>
      </c>
      <c r="B41" s="10" t="inlineStr">
        <is>
          <t>Click tracking</t>
        </is>
      </c>
      <c r="C41" s="5" t="inlineStr">
        <is>
          <t>Forged clicks are ignored</t>
        </is>
      </c>
      <c r="D41" s="5" t="inlineStr">
        <is>
          <t>P3</t>
        </is>
      </c>
      <c r="E41" s="5" t="inlineStr">
        <is>
          <t>Automated only</t>
        </is>
      </c>
      <c r="F41" s="5" t="inlineStr">
        <is>
          <t>Security check.</t>
        </is>
      </c>
      <c r="G41" s="5" t="inlineStr">
        <is>
          <t>Covered by PushEngagementTest.a_forged_or_missing_signature_records_nothing.</t>
        </is>
      </c>
      <c r="H41" s="5" t="inlineStr">
        <is>
          <t>Unsigned or wrongly signed beacons change nothing.</t>
        </is>
      </c>
      <c r="I41" s="5" t="inlineStr">
        <is>
          <t>./gradlew :ingest-api:test</t>
        </is>
      </c>
      <c r="J41" s="6" t="inlineStr">
        <is>
          <t>Not run</t>
        </is>
      </c>
      <c r="K41" s="6" t="n"/>
      <c r="L41" s="6" t="n"/>
      <c r="M41" s="11" t="n"/>
    </row>
    <row r="42">
      <c r="A42" s="5" t="inlineStr">
        <is>
          <t>POL-01</t>
        </is>
      </c>
      <c r="B42" s="10" t="inlineStr">
        <is>
          <t>Policy rules</t>
        </is>
      </c>
      <c r="C42" s="5" t="inlineStr">
        <is>
          <t>No push consent means blocked, and recorded</t>
        </is>
      </c>
      <c r="D42" s="5" t="inlineStr">
        <is>
          <t>P1</t>
        </is>
      </c>
      <c r="E42" s="5" t="inlineStr">
        <is>
          <t>Now</t>
        </is>
      </c>
      <c r="F42" s="5" t="inlineStr">
        <is>
          <t>Customer with a device but push consent withdrawn.</t>
        </is>
      </c>
      <c r="G42" s="5" t="inlineStr">
        <is>
          <t>Trigger a cart recovery.</t>
        </is>
      </c>
      <c r="H42" s="5" t="inlineStr">
        <is>
          <t>Send row status blocked, reason NO_MARKETING_CONSENT; no push.</t>
        </is>
      </c>
      <c r="I42" s="5" t="inlineStr">
        <is>
          <t>Q11</t>
        </is>
      </c>
      <c r="J42" s="6" t="inlineStr">
        <is>
          <t>Not run</t>
        </is>
      </c>
      <c r="K42" s="6" t="n"/>
      <c r="L42" s="6" t="n"/>
      <c r="M42" s="11" t="n"/>
    </row>
    <row r="43">
      <c r="A43" s="5" t="inlineStr">
        <is>
          <t>POL-02</t>
        </is>
      </c>
      <c r="B43" s="10" t="inlineStr">
        <is>
          <t>Policy rules</t>
        </is>
      </c>
      <c r="C43" s="5" t="inlineStr">
        <is>
          <t>Marketing cap: 3 pushes per day</t>
        </is>
      </c>
      <c r="D43" s="5" t="inlineStr">
        <is>
          <t>P2</t>
        </is>
      </c>
      <c r="E43" s="5" t="inlineStr">
        <is>
          <t>Now</t>
        </is>
      </c>
      <c r="F43" s="5" t="inlineStr">
        <is>
          <t>Test customer; four marketing pushes in 24 hours (e.g. four abandoned carts).</t>
        </is>
      </c>
      <c r="G43" s="5" t="inlineStr">
        <is>
          <t>Trigger the fourth.</t>
        </is>
      </c>
      <c r="H43" s="5" t="inlineStr">
        <is>
          <t>Fourth is blocked FREQUENCY_CAP (utility back-in-stock is not capped).</t>
        </is>
      </c>
      <c r="I43" s="5" t="inlineStr">
        <is>
          <t>Q11</t>
        </is>
      </c>
      <c r="J43" s="6" t="inlineStr">
        <is>
          <t>Not run</t>
        </is>
      </c>
      <c r="K43" s="6" t="n"/>
      <c r="L43" s="6" t="n"/>
      <c r="M43" s="11" t="n"/>
    </row>
    <row r="44">
      <c r="A44" s="5" t="inlineStr">
        <is>
          <t>POL-03</t>
        </is>
      </c>
      <c r="B44" s="10" t="inlineStr">
        <is>
          <t>Policy rules</t>
        </is>
      </c>
      <c r="C44" s="5" t="inlineStr">
        <is>
          <t>Kill switch stops push at once</t>
        </is>
      </c>
      <c r="D44" s="5" t="inlineStr">
        <is>
          <t>P1</t>
        </is>
      </c>
      <c r="E44" s="5" t="inlineStr">
        <is>
          <t>Now</t>
        </is>
      </c>
      <c r="F44" s="5" t="inlineStr">
        <is>
          <t>Ops test; needs a config row (admin console not built yet: ask Claude to insert it).</t>
        </is>
      </c>
      <c r="G44" s="5" t="inlineStr">
        <is>
          <t>Set halt.channel = true for push; trigger any push; then remove the halt.</t>
        </is>
      </c>
      <c r="H44" s="5" t="inlineStr">
        <is>
          <t>Blocked CHANNEL_HALTED immediately, utility included; sends resume after un-halt.</t>
        </is>
      </c>
      <c r="I44" s="5" t="inlineStr">
        <is>
          <t>Q11</t>
        </is>
      </c>
      <c r="J44" s="6" t="inlineStr">
        <is>
          <t>Not run</t>
        </is>
      </c>
      <c r="K44" s="6" t="n"/>
      <c r="L44" s="6" t="n"/>
      <c r="M44" s="11" t="n"/>
    </row>
    <row r="45">
      <c r="A45" s="5" t="inlineStr">
        <is>
          <t>POL-04</t>
        </is>
      </c>
      <c r="B45" s="10" t="inlineStr">
        <is>
          <t>Policy rules</t>
        </is>
      </c>
      <c r="C45" s="5" t="inlineStr">
        <is>
          <t>iPhone-web-only customer is unreachable on push</t>
        </is>
      </c>
      <c r="D45" s="5" t="inlineStr">
        <is>
          <t>P2</t>
        </is>
      </c>
      <c r="E45" s="5" t="inlineStr">
        <is>
          <t>Now</t>
        </is>
      </c>
      <c r="F45" s="5" t="inlineStr">
        <is>
          <t>Customer whose only device is iOS web.</t>
        </is>
      </c>
      <c r="G45" s="5" t="inlineStr">
        <is>
          <t>Trigger a push.</t>
        </is>
      </c>
      <c r="H45" s="5" t="inlineStr">
        <is>
          <t>Blocked UNREACHABLE; no FCM call.</t>
        </is>
      </c>
      <c r="I45" s="5" t="inlineStr">
        <is>
          <t>Q11</t>
        </is>
      </c>
      <c r="J45" s="6" t="inlineStr">
        <is>
          <t>Not run</t>
        </is>
      </c>
      <c r="K45" s="6" t="n"/>
      <c r="L45" s="6" t="n"/>
      <c r="M45" s="11" t="n"/>
    </row>
    <row r="46">
      <c r="A46" s="5" t="inlineStr">
        <is>
          <t>POL-05</t>
        </is>
      </c>
      <c r="B46" s="10" t="inlineStr">
        <is>
          <t>Policy rules</t>
        </is>
      </c>
      <c r="C46" s="5" t="inlineStr">
        <is>
          <t>Global 5% holdout never messaged (marketing)</t>
        </is>
      </c>
      <c r="D46" s="5" t="inlineStr">
        <is>
          <t>P3</t>
        </is>
      </c>
      <c r="E46" s="5" t="inlineStr">
        <is>
          <t>Automated only</t>
        </is>
      </c>
      <c r="F46" s="5" t="inlineStr">
        <is>
          <t>Statistical; one test customer cannot show it.</t>
        </is>
      </c>
      <c r="G46" s="5" t="inlineStr">
        <is>
          <t>Covered by PolicyEngineTest (holdout tests).</t>
        </is>
      </c>
      <c r="H46" s="5" t="inlineStr">
        <is>
          <t>Holdout control blocked HOLDOUT_CONTROL/GLOBAL; bucket stable.</t>
        </is>
      </c>
      <c r="I46" s="5" t="inlineStr">
        <is>
          <t>./gradlew :policy:test</t>
        </is>
      </c>
      <c r="J46" s="6" t="inlineStr">
        <is>
          <t>Not run</t>
        </is>
      </c>
      <c r="K46" s="6" t="n"/>
      <c r="L46" s="6" t="n"/>
      <c r="M46" s="11" t="n"/>
    </row>
    <row r="47">
      <c r="A47" s="5" t="inlineStr">
        <is>
          <t>RES-01</t>
        </is>
      </c>
      <c r="B47" s="10" t="inlineStr">
        <is>
          <t>Resilience</t>
        </is>
      </c>
      <c r="C47" s="5" t="inlineStr">
        <is>
          <t>Worker restart does not duplicate a push</t>
        </is>
      </c>
      <c r="D47" s="5" t="inlineStr">
        <is>
          <t>P2</t>
        </is>
      </c>
      <c r="E47" s="5" t="inlineStr">
        <is>
          <t>Now</t>
        </is>
      </c>
      <c r="F47" s="5" t="inlineStr">
        <is>
          <t>A delayed cart recovery pending.</t>
        </is>
      </c>
      <c r="G47" s="5" t="inlineStr">
        <is>
          <t>Restart the worker container before the 45 minutes end.</t>
        </is>
      </c>
      <c r="H47" s="5" t="inlineStr">
        <is>
          <t>Exactly one push after restart.</t>
        </is>
      </c>
      <c r="I47" s="5" t="inlineStr">
        <is>
          <t>Q10, Q11</t>
        </is>
      </c>
      <c r="J47" s="6" t="inlineStr">
        <is>
          <t>Not run</t>
        </is>
      </c>
      <c r="K47" s="6" t="n"/>
      <c r="L47" s="6" t="n"/>
      <c r="M47" s="11" t="n"/>
    </row>
    <row r="48">
      <c r="A48" s="5" t="inlineStr">
        <is>
          <t>RES-02</t>
        </is>
      </c>
      <c r="B48" s="10" t="inlineStr">
        <is>
          <t>Resilience</t>
        </is>
      </c>
      <c r="C48" s="5" t="inlineStr">
        <is>
          <t>Firebase outage fails the send, suppresses nobody</t>
        </is>
      </c>
      <c r="D48" s="5" t="inlineStr">
        <is>
          <t>P3</t>
        </is>
      </c>
      <c r="E48" s="5" t="inlineStr">
        <is>
          <t>Automated only</t>
        </is>
      </c>
      <c r="F48" s="5" t="inlineStr">
        <is>
          <t>Provider failure simulation.</t>
        </is>
      </c>
      <c r="G48" s="5" t="inlineStr">
        <is>
          <t>Covered by MessageRouterTest (transient failure).</t>
        </is>
      </c>
      <c r="H48" s="5" t="inlineStr">
        <is>
          <t>Send failed, retriable; no suppression.</t>
        </is>
      </c>
      <c r="I48" s="5" t="inlineStr">
        <is>
          <t>./gradlew :orchestrator:test</t>
        </is>
      </c>
      <c r="J48" s="6" t="inlineStr">
        <is>
          <t>Not run</t>
        </is>
      </c>
      <c r="K48" s="6" t="n"/>
      <c r="L48" s="6" t="n"/>
      <c r="M48" s="11" t="n"/>
    </row>
    <row r="49">
      <c r="A49" s="5" t="inlineStr">
        <is>
          <t>FUT-01</t>
        </is>
      </c>
      <c r="B49" s="10" t="inlineStr">
        <is>
          <t>Price drop</t>
        </is>
      </c>
      <c r="C49" s="5" t="inlineStr">
        <is>
          <t>Price falls on a carted / waitlisted variant</t>
        </is>
      </c>
      <c r="D49" s="5" t="inlineStr">
        <is>
          <t>P1</t>
        </is>
      </c>
      <c r="E49" s="5" t="inlineStr">
        <is>
          <t>After P1-T04</t>
        </is>
      </c>
      <c r="F49" s="5" t="inlineStr">
        <is>
          <t>Variant in an open cart; price lowered in admin.</t>
        </is>
      </c>
      <c r="G49" s="5" t="inlineStr">
        <is>
          <t>Lower the price.</t>
        </is>
      </c>
      <c r="H49" s="5" t="inlineStr">
        <is>
          <t>Push 'Price dropped: &lt;product&gt;' with real old and new prices.</t>
        </is>
      </c>
      <c r="I49" s="5" t="inlineStr">
        <is>
          <t>Q10</t>
        </is>
      </c>
      <c r="J49" s="6" t="inlineStr">
        <is>
          <t>Not built yet</t>
        </is>
      </c>
      <c r="K49" s="6" t="n"/>
      <c r="L49" s="6" t="n"/>
      <c r="M49" s="11" t="n"/>
    </row>
    <row r="50">
      <c r="A50" s="5" t="inlineStr">
        <is>
          <t>FUT-02</t>
        </is>
      </c>
      <c r="B50" s="10" t="inlineStr">
        <is>
          <t>Browse abandon</t>
        </is>
      </c>
      <c r="C50" s="5" t="inlineStr">
        <is>
          <t>3+ product views, no add to cart</t>
        </is>
      </c>
      <c r="D50" s="5" t="inlineStr">
        <is>
          <t>P2</t>
        </is>
      </c>
      <c r="E50" s="5" t="inlineStr">
        <is>
          <t>After P2-T06</t>
        </is>
      </c>
      <c r="F50" s="5" t="inlineStr">
        <is>
          <t>Signed-in subscriber.</t>
        </is>
      </c>
      <c r="G50" s="5" t="inlineStr">
        <is>
          <t>View 3 products, add nothing, leave 4 hours.</t>
        </is>
      </c>
      <c r="H50" s="5" t="inlineStr">
        <is>
          <t>One push 'Still thinking about it?'.</t>
        </is>
      </c>
      <c r="I50" s="5" t="inlineStr">
        <is>
          <t>Q10</t>
        </is>
      </c>
      <c r="J50" s="6" t="inlineStr">
        <is>
          <t>Not built yet</t>
        </is>
      </c>
      <c r="K50" s="6" t="n"/>
      <c r="L50" s="6" t="n"/>
      <c r="M50" s="11" t="n"/>
    </row>
    <row r="51">
      <c r="A51" s="5" t="inlineStr">
        <is>
          <t>FUT-03</t>
        </is>
      </c>
      <c r="B51" s="10" t="inlineStr">
        <is>
          <t>WhatsApp</t>
        </is>
      </c>
      <c r="C51" s="5" t="inlineStr">
        <is>
          <t>Order update on WhatsApp with opt-in</t>
        </is>
      </c>
      <c r="D51" s="5" t="inlineStr">
        <is>
          <t>P1</t>
        </is>
      </c>
      <c r="E51" s="5" t="inlineStr">
        <is>
          <t>After P4</t>
        </is>
      </c>
      <c r="F51" s="5" t="inlineStr">
        <is>
          <t>Meta approval, WhatsApp opt-in ticked in cart.</t>
        </is>
      </c>
      <c r="G51" s="5" t="inlineStr">
        <is>
          <t>Place an order.</t>
        </is>
      </c>
      <c r="H51" s="5" t="inlineStr">
        <is>
          <t>Utility order confirmation on WhatsApp; no message without opt-in (NO_WHATSAPP_OPT_IN).</t>
        </is>
      </c>
      <c r="I51" s="5" t="inlineStr">
        <is>
          <t>Q11</t>
        </is>
      </c>
      <c r="J51" s="6" t="inlineStr">
        <is>
          <t>Not built yet</t>
        </is>
      </c>
      <c r="K51" s="6" t="n"/>
      <c r="L51" s="6" t="n"/>
      <c r="M51" s="11" t="n"/>
    </row>
    <row r="52">
      <c r="A52" s="5" t="inlineStr">
        <is>
          <t>FUT-04</t>
        </is>
      </c>
      <c r="B52" s="10" t="inlineStr">
        <is>
          <t>SMS</t>
        </is>
      </c>
      <c r="C52" s="5" t="inlineStr">
        <is>
          <t>DLT-registered SMS fallback</t>
        </is>
      </c>
      <c r="D52" s="5" t="inlineStr">
        <is>
          <t>P2</t>
        </is>
      </c>
      <c r="E52" s="5" t="inlineStr">
        <is>
          <t>After P4</t>
        </is>
      </c>
      <c r="F52" s="5" t="inlineStr">
        <is>
          <t>DLT templates approved.</t>
        </is>
      </c>
      <c r="G52" s="5" t="inlineStr">
        <is>
          <t>Trigger a transactional cascade for a number without WhatsApp.</t>
        </is>
      </c>
      <c r="H52" s="5" t="inlineStr">
        <is>
          <t>SMS sent with the registered template text.</t>
        </is>
      </c>
      <c r="I52" s="5" t="inlineStr">
        <is>
          <t>Q11</t>
        </is>
      </c>
      <c r="J52" s="6" t="inlineStr">
        <is>
          <t>Not built yet</t>
        </is>
      </c>
      <c r="K52" s="6" t="n"/>
      <c r="L52" s="6" t="n"/>
      <c r="M52" s="11" t="n"/>
    </row>
    <row r="53">
      <c r="A53" s="5" t="inlineStr">
        <is>
          <t>FUT-05</t>
        </is>
      </c>
      <c r="B53" s="10" t="inlineStr">
        <is>
          <t>Payment recovery</t>
        </is>
      </c>
      <c r="C53" s="5" t="inlineStr">
        <is>
          <t>Failed Razorpay payment recovery</t>
        </is>
      </c>
      <c r="D53" s="5" t="inlineStr">
        <is>
          <t>P1</t>
        </is>
      </c>
      <c r="E53" s="5" t="inlineStr">
        <is>
          <t>After P5</t>
        </is>
      </c>
      <c r="F53" s="5" t="inlineStr">
        <is>
          <t>Razorpay test mode.</t>
        </is>
      </c>
      <c r="G53" s="5" t="inlineStr">
        <is>
          <t>Fail a test payment.</t>
        </is>
      </c>
      <c r="H53" s="5" t="inlineStr">
        <is>
          <t>payment_failed journey messages per plan.</t>
        </is>
      </c>
      <c r="I53" s="5" t="inlineStr">
        <is>
          <t>Q10</t>
        </is>
      </c>
      <c r="J53" s="6" t="inlineStr">
        <is>
          <t>Not built yet</t>
        </is>
      </c>
      <c r="K53" s="6" t="n"/>
      <c r="L53" s="6" t="n"/>
      <c r="M53" s="11" t="n"/>
    </row>
    <row r="54">
      <c r="A54" s="5" t="inlineStr">
        <is>
          <t>FUT-06</t>
        </is>
      </c>
      <c r="B54" s="10" t="inlineStr">
        <is>
          <t>Admin console</t>
        </is>
      </c>
      <c r="C54" s="5" t="inlineStr">
        <is>
          <t>Operator login with MFA and kill switch from UI</t>
        </is>
      </c>
      <c r="D54" s="5" t="inlineStr">
        <is>
          <t>P1</t>
        </is>
      </c>
      <c r="E54" s="5" t="inlineStr">
        <is>
          <t>After P6</t>
        </is>
      </c>
      <c r="F54" s="5" t="inlineStr">
        <is>
          <t>Operator account.</t>
        </is>
      </c>
      <c r="G54" s="5" t="inlineStr">
        <is>
          <t>Log in, set a halt from the console.</t>
        </is>
      </c>
      <c r="H54" s="5" t="inlineStr">
        <is>
          <t>Halt applies immediately and is audited.</t>
        </is>
      </c>
      <c r="I54" s="5" t="inlineStr">
        <is>
          <t>Admin audit log</t>
        </is>
      </c>
      <c r="J54" s="6" t="inlineStr">
        <is>
          <t>Not built yet</t>
        </is>
      </c>
      <c r="K54" s="6" t="n"/>
      <c r="L54" s="6" t="n"/>
      <c r="M54" s="11" t="n"/>
    </row>
    <row r="55">
      <c r="A55" s="5" t="inlineStr">
        <is>
          <t>FUT-07</t>
        </is>
      </c>
      <c r="B55" s="10" t="inlineStr">
        <is>
          <t>Email</t>
        </is>
      </c>
      <c r="C55" s="5" t="inlineStr">
        <is>
          <t>Marketing email with one-click unsubscribe</t>
        </is>
      </c>
      <c r="D55" s="5" t="inlineStr">
        <is>
          <t>P2</t>
        </is>
      </c>
      <c r="E55" s="5" t="inlineStr">
        <is>
          <t>After P7</t>
        </is>
      </c>
      <c r="F55" s="5" t="inlineStr">
        <is>
          <t>Email consent.</t>
        </is>
      </c>
      <c r="G55" s="5" t="inlineStr">
        <is>
          <t>Trigger an email step.</t>
        </is>
      </c>
      <c r="H55" s="5" t="inlineStr">
        <is>
          <t>Email received; List-Unsubscribe works.</t>
        </is>
      </c>
      <c r="I55" s="5" t="inlineStr">
        <is>
          <t>Q11</t>
        </is>
      </c>
      <c r="J55" s="6" t="inlineStr">
        <is>
          <t>Not built yet</t>
        </is>
      </c>
      <c r="K55" s="6" t="n"/>
      <c r="L55" s="6" t="n"/>
      <c r="M55" s="11" t="n"/>
    </row>
  </sheetData>
  <autoFilter ref="A1:M55"/>
  <conditionalFormatting sqref="J2:J5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built yet"</formula>
    </cfRule>
  </conditionalFormatting>
  <dataValidations count="2">
    <dataValidation sqref="J2:J55" showDropDown="0" showInputMessage="0" showErrorMessage="0" allowBlank="1" error="Choose a status from the list." type="list">
      <formula1>"Not run,Pass,Fail,Blocked,Not built yet"</formula1>
    </dataValidation>
    <dataValidation sqref="D2:D55" showDropDown="0" showInputMessage="0" showErrorMessage="0" allowBlank="0" type="list">
      <formula1>"P1,P2,P3"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10" customWidth="1" min="3" max="3"/>
  </cols>
  <sheetData>
    <row r="1">
      <c r="A1" s="1" t="inlineStr">
        <is>
          <t>Server checks (read-only)</t>
        </is>
      </c>
    </row>
    <row r="2" ht="45" customHeight="1">
      <c r="A2" s="3" t="inlineStr">
        <is>
          <t>SQL runs in the dev database: ssh deploy@46.202.164.251, then cd /opt/wumika &amp;&amp; docker compose exec db sh -c 'psql -U $POSTGRES_USER -d $POSTGRES_DB'. Or ask Claude to run the query read-only.</t>
        </is>
      </c>
    </row>
    <row r="4">
      <c r="A4" s="4" t="inlineStr">
        <is>
          <t>Query</t>
        </is>
      </c>
      <c r="B4" s="4" t="inlineStr">
        <is>
          <t>What it shows</t>
        </is>
      </c>
      <c r="C4" s="4" t="inlineStr">
        <is>
          <t>Command / SQL</t>
        </is>
      </c>
    </row>
    <row r="5">
      <c r="A5" s="5" t="inlineStr">
        <is>
          <t>Q1</t>
        </is>
      </c>
      <c r="B5" s="5" t="inlineStr">
        <is>
          <t>Containers and restarts</t>
        </is>
      </c>
      <c r="C5" s="12" t="inlineStr">
        <is>
          <t>cd /opt/wumika &amp;&amp; docker compose ps
docker inspect -f '{{.RestartCount}}' $(docker compose ps -q worker)</t>
        </is>
      </c>
    </row>
    <row r="6">
      <c r="A6" s="5" t="inlineStr">
        <is>
          <t>Q2</t>
        </is>
      </c>
      <c r="B6" s="5" t="inlineStr">
        <is>
          <t>Worker log (startup and errors)</t>
        </is>
      </c>
      <c r="C6" s="12" t="inlineStr">
        <is>
          <t>cd /opt/wumika &amp;&amp; docker compose logs --tail 100 worker | grep -E 'worker ready|templates:|ERROR|WARN'</t>
        </is>
      </c>
    </row>
    <row r="7">
      <c r="A7" s="5" t="inlineStr">
        <is>
          <t>Q3</t>
        </is>
      </c>
      <c r="B7" s="5" t="inlineStr">
        <is>
          <t>Migrations</t>
        </is>
      </c>
      <c r="C7" s="12" t="inlineStr">
        <is>
          <t>SELECT version, description, success FROM flyway_schema_history ORDER BY installed_rank;</t>
        </is>
      </c>
    </row>
    <row r="8">
      <c r="A8" s="5" t="inlineStr">
        <is>
          <t>Q4</t>
        </is>
      </c>
      <c r="B8" s="5" t="inlineStr">
        <is>
          <t>Webhook inbox (latest)</t>
        </is>
      </c>
      <c r="C8" s="12" t="inlineStr">
        <is>
          <t>SELECT topic, attempts, processed_at IS NOT NULL AS done, last_error, received_at
  FROM webhook_inbox ORDER BY received_at DESC LIMIT 20;</t>
        </is>
      </c>
    </row>
    <row r="9">
      <c r="A9" s="5" t="inlineStr">
        <is>
          <t>Q5</t>
        </is>
      </c>
      <c r="B9" s="5" t="inlineStr">
        <is>
          <t>Devices and push consent</t>
        </is>
      </c>
      <c r="C9" s="12" t="inlineStr">
        <is>
          <t>SELECT id, platform, browser, active, deactivated_reason, last_refreshed_at FROM devices ORDER BY id DESC LIMIT 10;
SELECT channel, purpose, state, source, occurred_at FROM consents ORDER BY id DESC LIMIT 10;</t>
        </is>
      </c>
    </row>
    <row r="10">
      <c r="A10" s="5" t="inlineStr">
        <is>
          <t>Q6</t>
        </is>
      </c>
      <c r="B10" s="5" t="inlineStr">
        <is>
          <t>Stock events</t>
        </is>
      </c>
      <c r="C10" s="12" t="inlineStr">
        <is>
          <t>SELECT id, name, props-&gt;&gt;'product_title' AS product, props-&gt;&gt;'quantity' AS qty, occurred_at
  FROM events WHERE name LIKE 'variant_%' ORDER BY id DESC LIMIT 10;</t>
        </is>
      </c>
    </row>
    <row r="11">
      <c r="A11" s="5" t="inlineStr">
        <is>
          <t>Q7</t>
        </is>
      </c>
      <c r="B11" s="5" t="inlineStr">
        <is>
          <t>Waitlist</t>
        </is>
      </c>
      <c r="C11" s="12" t="inlineStr">
        <is>
          <t>SELECT variant_id, product_handle, size_label, created_at, notified_at FROM stock_waitlist ORDER BY created_at DESC LIMIT 10;</t>
        </is>
      </c>
    </row>
    <row r="12">
      <c r="A12" s="5" t="inlineStr">
        <is>
          <t>Q8</t>
        </is>
      </c>
      <c r="B12" s="5" t="inlineStr">
        <is>
          <t>Storefront prompt funnel</t>
        </is>
      </c>
      <c r="C12" s="12" t="inlineStr">
        <is>
          <t>SELECT surface, step, platform, created_at FROM push_prompt_events ORDER BY id DESC LIMIT 20;</t>
        </is>
      </c>
    </row>
    <row r="13">
      <c r="A13" s="5" t="inlineStr">
        <is>
          <t>Q9</t>
        </is>
      </c>
      <c r="B13" s="5" t="inlineStr">
        <is>
          <t>Current stock the system knows</t>
        </is>
      </c>
      <c r="C13" s="12" t="inlineStr">
        <is>
          <t>SELECT product_title, variant_title, available, updated_at FROM inventory_state ORDER BY updated_at DESC LIMIT 10;</t>
        </is>
      </c>
    </row>
    <row r="14">
      <c r="A14" s="5" t="inlineStr">
        <is>
          <t>Q10</t>
        </is>
      </c>
      <c r="B14" s="5" t="inlineStr">
        <is>
          <t>Cascade runs</t>
        </is>
      </c>
      <c r="C14" s="12" t="inlineStr">
        <is>
          <t>SELECT id, intent_key, subject_key, status, outcome, next_step_at, created_at FROM cascade_runs ORDER BY id DESC LIMIT 10;</t>
        </is>
      </c>
    </row>
    <row r="15">
      <c r="A15" s="5" t="inlineStr">
        <is>
          <t>Q11</t>
        </is>
      </c>
      <c r="B15" s="5" t="inlineStr">
        <is>
          <t>Sends (every attempt, incl. blocked and deferred)</t>
        </is>
      </c>
      <c r="C15" s="12" t="inlineStr">
        <is>
          <t>SELECT id, template_key, status, decision-&gt;&gt;'reason' AS reason, failed_reason, delivered_count,
       sent_at, delivered_at, clicked_at FROM sends ORDER BY id DESC LIMIT 10;</t>
        </is>
      </c>
    </row>
    <row r="16">
      <c r="A16" s="5" t="inlineStr">
        <is>
          <t>Q12</t>
        </is>
      </c>
      <c r="B16" s="5" t="inlineStr">
        <is>
          <t>Click events</t>
        </is>
      </c>
      <c r="C16" s="12" t="inlineStr">
        <is>
          <t>SELECT id, props-&gt;&gt;'send_id' AS send_id, props-&gt;&gt;'cascade_run_id' AS run, occurred_at
  FROM events WHERE name = 'push_clicked' ORDER BY id DESC LIMIT 10;</t>
        </is>
      </c>
    </row>
  </sheetData>
  <mergeCells count="1"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70" customWidth="1" min="3" max="3"/>
  </cols>
  <sheetData>
    <row r="1">
      <c r="A1" s="1" t="inlineStr">
        <is>
          <t>Automated coverage (runs on every build: ./gradlew build)</t>
        </is>
      </c>
    </row>
    <row r="3">
      <c r="A3" s="4" t="inlineStr">
        <is>
          <t>Module</t>
        </is>
      </c>
      <c r="B3" s="4" t="inlineStr">
        <is>
          <t>What it checks</t>
        </is>
      </c>
      <c r="C3" s="4" t="inlineStr">
        <is>
          <t>Test classes</t>
        </is>
      </c>
    </row>
    <row r="4">
      <c r="A4" s="5" t="inlineStr">
        <is>
          <t>core-domain</t>
        </is>
      </c>
      <c r="B4" s="5" t="inlineStr">
        <is>
          <t>Money, phones, signatures, beacon signing</t>
        </is>
      </c>
      <c r="C4" s="5" t="inlineStr">
        <is>
          <t>BeaconSignatureTest, PaiseTest, ...</t>
        </is>
      </c>
    </row>
    <row r="5">
      <c r="A5" s="5" t="inlineStr">
        <is>
          <t>policy</t>
        </is>
      </c>
      <c r="B5" s="5" t="inlineStr">
        <is>
          <t>Every policy rule: consent, quiet hours, caps, budget, holdouts, kill switches, config snapshots</t>
        </is>
      </c>
      <c r="C5" s="5" t="inlineStr">
        <is>
          <t>PolicyEngineTest (33)</t>
        </is>
      </c>
    </row>
    <row r="6">
      <c r="A6" s="5" t="inlineStr">
        <is>
          <t>channels</t>
        </is>
      </c>
      <c r="B6" s="5" t="inlineStr">
        <is>
          <t>FCM adapter: batching, dead-token pruning, payload limit</t>
        </is>
      </c>
      <c r="C6" s="5" t="inlineStr">
        <is>
          <t>FcmAdapterTest (13), FcmTokenPrunerTest</t>
        </is>
      </c>
    </row>
    <row r="7">
      <c r="A7" s="5" t="inlineStr">
        <is>
          <t>orchestrator</t>
        </is>
      </c>
      <c r="B7" s="5" t="inlineStr">
        <is>
          <t>Templates and lint, router transactions, deferrals, dedupe, UTMs</t>
        </is>
      </c>
      <c r="C7" s="5" t="inlineStr">
        <is>
          <t>TemplateLinterTest, MessageRouterTest, DefaultOrchestratorTest, UtmTest</t>
        </is>
      </c>
    </row>
    <row r="8">
      <c r="A8" s="5" t="inlineStr">
        <is>
          <t>worker</t>
        </is>
      </c>
      <c r="B8" s="5" t="inlineStr">
        <is>
          <t>Event dispatch exactly-once, cart recovery, back in stock, click signal, architecture rules</t>
        </is>
      </c>
      <c r="C8" s="5" t="inlineStr">
        <is>
          <t>EventDispatcherTest, CartRecoveryTest, BackInStockTest, ArchitectureTest</t>
        </is>
      </c>
    </row>
    <row r="9">
      <c r="A9" s="5" t="inlineStr">
        <is>
          <t>ingest-api</t>
        </is>
      </c>
      <c r="B9" s="5" t="inlineStr">
        <is>
          <t>Webhooks, storefront endpoints, inventory, click beacons, Admin API client</t>
        </is>
      </c>
      <c r="C9" s="5" t="inlineStr">
        <is>
          <t>WebhookFlowTest, StorefrontSubscriberTest, InventoryRestockTest, PushEngagementTest, ShopifyAdminClientTest</t>
        </is>
      </c>
    </row>
    <row r="11">
      <c r="A11" s="7" t="inlineStr">
        <is>
          <t>Database tests need config/local.env (TEST_DB_NAME); CI runs the unit tests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2026-09-29T19:00:48Z</dcterms:created>
  <dcterms:modified xmlns:dcterms="http://purl.org/dc/terms/" xmlns:xsi="http://www.w3.org/2001/XMLSchema-instance" xsi:type="dcterms:W3CDTF">2026-09-29T19:00:48Z</dcterms:modified>
</cp:coreProperties>
</file>